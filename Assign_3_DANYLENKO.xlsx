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tondanylenko/Downloads/"/>
    </mc:Choice>
  </mc:AlternateContent>
  <xr:revisionPtr revIDLastSave="0" documentId="8_{80621D9E-E27C-B343-A24C-31277329AC26}" xr6:coauthVersionLast="47" xr6:coauthVersionMax="47" xr10:uidLastSave="{00000000-0000-0000-0000-000000000000}"/>
  <bookViews>
    <workbookView xWindow="0" yWindow="700" windowWidth="34200" windowHeight="19760" xr2:uid="{5B65B879-99EC-8647-B6F7-D8D63450D62C}"/>
  </bookViews>
  <sheets>
    <sheet name="Problem 1" sheetId="1" r:id="rId1"/>
    <sheet name="Problem 1 Graph" sheetId="10" r:id="rId2"/>
    <sheet name="Problem 2" sheetId="2" r:id="rId3"/>
    <sheet name="Problem 2a Graph" sheetId="5" r:id="rId4"/>
    <sheet name="Problem 2b Graph" sheetId="6" r:id="rId5"/>
    <sheet name="Problem 3" sheetId="3" r:id="rId6"/>
    <sheet name="Problem 3a Graph" sheetId="7" r:id="rId7"/>
    <sheet name="Problem 3b Graph" sheetId="8" r:id="rId8"/>
    <sheet name="Problem 3c Graph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7" i="1"/>
  <c r="C18" i="1"/>
  <c r="C11" i="1"/>
  <c r="C12" i="1"/>
  <c r="C13" i="1"/>
  <c r="C14" i="1"/>
  <c r="C9" i="1"/>
  <c r="C10" i="1"/>
  <c r="C8" i="1"/>
  <c r="F12" i="3"/>
  <c r="F24" i="3"/>
  <c r="F36" i="3"/>
  <c r="C76" i="2"/>
  <c r="C77" i="2"/>
  <c r="C78" i="2"/>
  <c r="C79" i="2"/>
  <c r="C80" i="2"/>
  <c r="C81" i="2"/>
  <c r="A81" i="2"/>
  <c r="A76" i="2"/>
  <c r="A77" i="2" s="1"/>
  <c r="A78" i="2" s="1"/>
  <c r="A79" i="2" s="1"/>
  <c r="A80" i="2" s="1"/>
  <c r="C73" i="2"/>
  <c r="C74" i="2"/>
  <c r="C75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A70" i="2"/>
  <c r="A71" i="2" s="1"/>
  <c r="A72" i="2" s="1"/>
  <c r="A73" i="2" s="1"/>
  <c r="A74" i="2" s="1"/>
  <c r="A75" i="2" s="1"/>
  <c r="A58" i="2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52" i="2"/>
  <c r="A53" i="2" s="1"/>
  <c r="A54" i="2" s="1"/>
  <c r="A55" i="2" s="1"/>
  <c r="A56" i="2" s="1"/>
  <c r="A57" i="2" s="1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23" i="2"/>
  <c r="A24" i="2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10" i="2"/>
  <c r="C9" i="2"/>
  <c r="C10" i="2" l="1"/>
  <c r="A30" i="3"/>
  <c r="A31" i="3" s="1"/>
  <c r="A32" i="3" s="1"/>
  <c r="A18" i="3"/>
  <c r="A19" i="3" s="1"/>
  <c r="A20" i="3" s="1"/>
  <c r="A21" i="3" s="1"/>
  <c r="C11" i="2" l="1"/>
  <c r="C12" i="2" l="1"/>
  <c r="C13" i="2" l="1"/>
  <c r="C14" i="2" l="1"/>
  <c r="C15" i="2" l="1"/>
  <c r="C16" i="2" l="1"/>
  <c r="C17" i="2" l="1"/>
  <c r="C18" i="2" l="1"/>
  <c r="C19" i="2" l="1"/>
  <c r="C20" i="2" l="1"/>
  <c r="C21" i="2" l="1"/>
  <c r="C22" i="2" l="1"/>
  <c r="C23" i="2" l="1"/>
  <c r="C24" i="2" l="1"/>
  <c r="C25" i="2" l="1"/>
  <c r="C26" i="2" l="1"/>
  <c r="C27" i="2" l="1"/>
  <c r="C28" i="2" l="1"/>
  <c r="C29" i="2" l="1"/>
  <c r="C30" i="2" l="1"/>
  <c r="C31" i="2" l="1"/>
  <c r="C32" i="2" l="1"/>
  <c r="C33" i="2" l="1"/>
  <c r="C34" i="2" l="1"/>
  <c r="C35" i="2" l="1"/>
  <c r="C36" i="2" l="1"/>
  <c r="C37" i="2" l="1"/>
  <c r="C38" i="2" l="1"/>
  <c r="C39" i="2" l="1"/>
  <c r="C40" i="2" l="1"/>
  <c r="C41" i="2" l="1"/>
  <c r="C42" i="2" l="1"/>
  <c r="C43" i="2" l="1"/>
  <c r="C44" i="2" l="1"/>
  <c r="C45" i="2" l="1"/>
  <c r="C46" i="2" l="1"/>
  <c r="C47" i="2" l="1"/>
  <c r="C48" i="2" l="1"/>
  <c r="C49" i="2" l="1"/>
  <c r="C50" i="2" l="1"/>
  <c r="C51" i="2" l="1"/>
  <c r="C52" i="2" l="1"/>
  <c r="C53" i="2" l="1"/>
  <c r="C54" i="2" l="1"/>
  <c r="C55" i="2" l="1"/>
  <c r="C57" i="2" l="1"/>
  <c r="C56" i="2"/>
</calcChain>
</file>

<file path=xl/sharedStrings.xml><?xml version="1.0" encoding="utf-8"?>
<sst xmlns="http://schemas.openxmlformats.org/spreadsheetml/2006/main" count="31" uniqueCount="29">
  <si>
    <t>a) Material Science</t>
  </si>
  <si>
    <r>
      <t>Temp (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C)</t>
    </r>
  </si>
  <si>
    <t>% elongation</t>
  </si>
  <si>
    <t>b) Civil/Environmental Engineering</t>
  </si>
  <si>
    <t>Time (hr)</t>
  </si>
  <si>
    <t>Bacteria Count (#/100 mL)</t>
  </si>
  <si>
    <t>c) Mechanical Engineering</t>
  </si>
  <si>
    <t>Applied stress (Mpa)</t>
  </si>
  <si>
    <t>Fracture time (hr)</t>
  </si>
  <si>
    <t>Input variables</t>
  </si>
  <si>
    <t>Coefficient of friction, μ</t>
  </si>
  <si>
    <r>
      <t>Tension, T</t>
    </r>
    <r>
      <rPr>
        <vertAlign val="subscript"/>
        <sz val="12"/>
        <color theme="1"/>
        <rFont val="Aptos Narrow (Body)"/>
      </rPr>
      <t>1</t>
    </r>
    <r>
      <rPr>
        <sz val="12"/>
        <color theme="1"/>
        <rFont val="Aptos Narrow"/>
        <family val="2"/>
        <scheme val="minor"/>
      </rPr>
      <t xml:space="preserve"> (N)</t>
    </r>
  </si>
  <si>
    <t>a)</t>
  </si>
  <si>
    <r>
      <t>Tension, T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 xml:space="preserve"> (N)</t>
    </r>
  </si>
  <si>
    <t>Contact angle, θ (degrees)</t>
  </si>
  <si>
    <t>0 - 720</t>
  </si>
  <si>
    <t>b)</t>
  </si>
  <si>
    <t>What is the shape of the curve when plotted this way?</t>
  </si>
  <si>
    <t>Distributed load, w (N/m)</t>
  </si>
  <si>
    <t>Distance, x (m)</t>
  </si>
  <si>
    <t>Length, L (m)</t>
  </si>
  <si>
    <r>
      <t>Moment of inertia, I (m</t>
    </r>
    <r>
      <rPr>
        <vertAlign val="super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>)</t>
    </r>
  </si>
  <si>
    <r>
      <t>Modulus of elasticity, E (N/m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 xml:space="preserve"> or Pa)</t>
    </r>
  </si>
  <si>
    <t>What is the maximum deflection of the beam?</t>
  </si>
  <si>
    <r>
      <t xml:space="preserve">% elongation at 400 </t>
    </r>
    <r>
      <rPr>
        <vertAlign val="superscript"/>
        <sz val="12"/>
        <color theme="1"/>
        <rFont val="Aptos Narrow (Body)"/>
      </rPr>
      <t>o</t>
    </r>
    <r>
      <rPr>
        <sz val="12"/>
        <color theme="1"/>
        <rFont val="Aptos Narrow"/>
        <family val="2"/>
        <scheme val="minor"/>
      </rPr>
      <t>C</t>
    </r>
  </si>
  <si>
    <t>After how much time should the water be safe to drink?</t>
  </si>
  <si>
    <t>Fracture time for an applied stress of 25 MPa</t>
  </si>
  <si>
    <t>Line</t>
  </si>
  <si>
    <t>Deflection, 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</si>
</sst>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vertAlign val="superscript"/>
      <sz val="12"/>
      <color theme="1"/>
      <name val="Aptos Narrow (Body)"/>
    </font>
    <font>
      <sz val="12"/>
      <color rgb="FF141414"/>
      <name val="Aptos Narrow (Body)"/>
    </font>
    <font>
      <vertAlign val="subscript"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microsoft.com/office/2017/10/relationships/person" Target="persons/person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4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styles" Target="styles.xml"/><Relationship Id="rId5" Type="http://schemas.openxmlformats.org/officeDocument/2006/relationships/chartsheet" Target="chartsheets/sheet3.xml"/><Relationship Id="rId10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Determining</a:t>
            </a:r>
            <a:r>
              <a:rPr lang="en-US" sz="2000" baseline="0"/>
              <a:t> the deflection of a beam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'Problem 1'!$A$8:$A$18</c:f>
              <c:numCache>
                <c:formatCode>0.0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'Problem 1'!$B$8:$B$18</c:f>
              <c:numCache>
                <c:formatCode>0.0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AA-8042-8786-3ED0CCB99CA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'Problem 1'!$A$8:$A$18</c:f>
              <c:numCache>
                <c:formatCode>0.0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'Problem 1'!$C$8:$C$18</c:f>
              <c:numCache>
                <c:formatCode>0.00</c:formatCode>
                <c:ptCount val="11"/>
                <c:pt idx="0">
                  <c:v>0</c:v>
                </c:pt>
                <c:pt idx="1">
                  <c:v>-0.73710267406659946</c:v>
                </c:pt>
                <c:pt idx="2">
                  <c:v>-2.7539522367978475</c:v>
                </c:pt>
                <c:pt idx="3">
                  <c:v>-5.7825113521695251</c:v>
                </c:pt>
                <c:pt idx="4">
                  <c:v>-9.5862764883955602</c:v>
                </c:pt>
                <c:pt idx="5">
                  <c:v>-13.960277917928019</c:v>
                </c:pt>
                <c:pt idx="6">
                  <c:v>-18.731079717457114</c:v>
                </c:pt>
                <c:pt idx="7">
                  <c:v>-23.756779767911201</c:v>
                </c:pt>
                <c:pt idx="8">
                  <c:v>-28.92700975445678</c:v>
                </c:pt>
                <c:pt idx="9">
                  <c:v>-34.162935166498485</c:v>
                </c:pt>
                <c:pt idx="10">
                  <c:v>-39.417255297679112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AA-8042-8786-3ED0CCB99CA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'Problem 1'!$A$8:$A$18</c:f>
              <c:numCache>
                <c:formatCode>0.0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'Problem 1'!$D$8:$D$18</c:f>
              <c:numCache>
                <c:formatCode>0.00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AA-8042-8786-3ED0CCB9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020159"/>
        <c:axId val="2056217343"/>
      </c:scatterChart>
      <c:valAx>
        <c:axId val="19900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Distance,</a:t>
                </a:r>
                <a:r>
                  <a:rPr lang="en-US" sz="2000" baseline="0"/>
                  <a:t> x (m)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17343"/>
        <c:crosses val="autoZero"/>
        <c:crossBetween val="midCat"/>
      </c:valAx>
      <c:valAx>
        <c:axId val="20562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Deflection</a:t>
                </a:r>
                <a:r>
                  <a:rPr lang="en-US" sz="2000" baseline="0"/>
                  <a:t>, y (mm)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02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Determining</a:t>
            </a:r>
            <a:r>
              <a:rPr lang="en-US" sz="2000" baseline="0"/>
              <a:t> the force</a:t>
            </a:r>
            <a:r>
              <a:rPr lang="en-US" sz="2000" b="0" i="0" u="none" strike="noStrike">
                <a:effectLst/>
              </a:rPr>
              <a:t> T</a:t>
            </a:r>
            <a:r>
              <a:rPr lang="en-US" sz="2000" b="0" i="0" u="none" strike="noStrike" baseline="-25000">
                <a:effectLst/>
              </a:rPr>
              <a:t>2</a:t>
            </a:r>
            <a:r>
              <a:rPr lang="en-US" sz="2000">
                <a:effectLst/>
              </a:rPr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2000"/>
          </a:p>
        </c:rich>
      </c:tx>
      <c:layout>
        <c:manualLayout>
          <c:xMode val="edge"/>
          <c:yMode val="edge"/>
          <c:x val="0.35580797788367907"/>
          <c:y val="3.6330273654687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'Problem 2'!$A$9:$A$81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'Problem 2'!$B$9:$B$81</c:f>
              <c:numCache>
                <c:formatCode>General</c:formatCode>
                <c:ptCount val="7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97-0E43-B6F5-D13CD8E5B26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2'!$A$9:$A$81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'Problem 2'!$C$9:$C$81</c:f>
              <c:numCache>
                <c:formatCode>0</c:formatCode>
                <c:ptCount val="73"/>
                <c:pt idx="0">
                  <c:v>500</c:v>
                </c:pt>
                <c:pt idx="1">
                  <c:v>526.87744851283639</c:v>
                </c:pt>
                <c:pt idx="2">
                  <c:v>555.19969150279303</c:v>
                </c:pt>
                <c:pt idx="3">
                  <c:v>585.04439374821095</c:v>
                </c:pt>
                <c:pt idx="4">
                  <c:v>616.49339488959322</c:v>
                </c:pt>
                <c:pt idx="5">
                  <c:v>649.63293384889062</c:v>
                </c:pt>
                <c:pt idx="6">
                  <c:v>684.5538853124234</c:v>
                </c:pt>
                <c:pt idx="7">
                  <c:v>721.35200892591683</c:v>
                </c:pt>
                <c:pt idx="8">
                  <c:v>760.12821188499174</c:v>
                </c:pt>
                <c:pt idx="9">
                  <c:v>800.98882564117821</c:v>
                </c:pt>
                <c:pt idx="10">
                  <c:v>844.0458974822343</c:v>
                </c:pt>
                <c:pt idx="11">
                  <c:v>889.41749778633334</c:v>
                </c:pt>
                <c:pt idx="12">
                  <c:v>937.22804379266904</c:v>
                </c:pt>
                <c:pt idx="13">
                  <c:v>987.60864077631675</c:v>
                </c:pt>
                <c:pt idx="14">
                  <c:v>1040.6974415629122</c:v>
                </c:pt>
                <c:pt idx="15">
                  <c:v>1096.6400253690076</c:v>
                </c:pt>
                <c:pt idx="16">
                  <c:v>1155.5897970069498</c:v>
                </c:pt>
                <c:pt idx="17">
                  <c:v>1217.7084075489765</c:v>
                </c:pt>
                <c:pt idx="18">
                  <c:v>1283.1661976040675</c:v>
                </c:pt>
                <c:pt idx="19">
                  <c:v>1352.1426644230985</c:v>
                </c:pt>
                <c:pt idx="20">
                  <c:v>1424.8269541131806</c:v>
                </c:pt>
                <c:pt idx="21">
                  <c:v>1501.4183803109377</c:v>
                </c:pt>
                <c:pt idx="22">
                  <c:v>1582.1269707370045</c:v>
                </c:pt>
                <c:pt idx="23">
                  <c:v>1667.1740431305116</c:v>
                </c:pt>
                <c:pt idx="24">
                  <c:v>1756.7928121428665</c:v>
                </c:pt>
                <c:pt idx="25">
                  <c:v>1851.2290288550487</c:v>
                </c:pt>
                <c:pt idx="26">
                  <c:v>1950.7416546720876</c:v>
                </c:pt>
                <c:pt idx="27">
                  <c:v>2055.6035714426762</c:v>
                </c:pt>
                <c:pt idx="28">
                  <c:v>2166.1023297511824</c:v>
                </c:pt>
                <c:pt idx="29">
                  <c:v>2282.5409374340275</c:v>
                </c:pt>
                <c:pt idx="30">
                  <c:v>2405.2386904826758</c:v>
                </c:pt>
                <c:pt idx="31">
                  <c:v>2534.5320486117362</c:v>
                </c:pt>
                <c:pt idx="32">
                  <c:v>2670.7755578931269</c:v>
                </c:pt>
                <c:pt idx="33">
                  <c:v>2814.3428229863548</c:v>
                </c:pt>
                <c:pt idx="34">
                  <c:v>2965.6275316309288</c:v>
                </c:pt>
                <c:pt idx="35">
                  <c:v>3125.0445342102489</c:v>
                </c:pt>
                <c:pt idx="36">
                  <c:v>3293.0309813473623</c:v>
                </c:pt>
                <c:pt idx="37">
                  <c:v>3470.0475226520389</c:v>
                </c:pt>
                <c:pt idx="38">
                  <c:v>3656.579569906391</c:v>
                </c:pt>
                <c:pt idx="39">
                  <c:v>3853.1386281528876</c:v>
                </c:pt>
                <c:pt idx="40">
                  <c:v>4060.2636983348875</c:v>
                </c:pt>
                <c:pt idx="41">
                  <c:v>4278.5227553359555</c:v>
                </c:pt>
                <c:pt idx="42">
                  <c:v>4508.5143054710388</c:v>
                </c:pt>
                <c:pt idx="43">
                  <c:v>4750.8690277004061</c:v>
                </c:pt>
                <c:pt idx="44">
                  <c:v>5006.251503066901</c:v>
                </c:pt>
                <c:pt idx="45">
                  <c:v>5275.362037098881</c:v>
                </c:pt>
                <c:pt idx="46">
                  <c:v>5558.9385801762737</c:v>
                </c:pt>
                <c:pt idx="47">
                  <c:v>5857.758751125687</c:v>
                </c:pt>
                <c:pt idx="48">
                  <c:v>6172.6419695936802</c:v>
                </c:pt>
                <c:pt idx="49">
                  <c:v>6504.4517030455399</c:v>
                </c:pt>
                <c:pt idx="50">
                  <c:v>6854.0978345512131</c:v>
                </c:pt>
                <c:pt idx="51">
                  <c:v>7222.5391578513991</c:v>
                </c:pt>
                <c:pt idx="52">
                  <c:v>7610.7860065455889</c:v>
                </c:pt>
                <c:pt idx="53">
                  <c:v>8019.90302461188</c:v>
                </c:pt>
                <c:pt idx="54">
                  <c:v>8451.012085855773</c:v>
                </c:pt>
                <c:pt idx="55">
                  <c:v>8905.2953702936629</c:v>
                </c:pt>
                <c:pt idx="56">
                  <c:v>9383.9986059069979</c:v>
                </c:pt>
                <c:pt idx="57">
                  <c:v>9888.4344846565837</c:v>
                </c:pt>
                <c:pt idx="58">
                  <c:v>10419.986262124417</c:v>
                </c:pt>
                <c:pt idx="59">
                  <c:v>10980.111550653837</c:v>
                </c:pt>
                <c:pt idx="60">
                  <c:v>11570.346316389634</c:v>
                </c:pt>
                <c:pt idx="61">
                  <c:v>12192.309091178528</c:v>
                </c:pt>
                <c:pt idx="62">
                  <c:v>12847.705410880008</c:v>
                </c:pt>
                <c:pt idx="63">
                  <c:v>13538.332492258038</c:v>
                </c:pt>
                <c:pt idx="64">
                  <c:v>14266.084161278686</c:v>
                </c:pt>
                <c:pt idx="65">
                  <c:v>15032.956046327801</c:v>
                </c:pt>
                <c:pt idx="66">
                  <c:v>15841.051050589613</c:v>
                </c:pt>
                <c:pt idx="67">
                  <c:v>16692.585118592495</c:v>
                </c:pt>
                <c:pt idx="68">
                  <c:v>17589.893312734708</c:v>
                </c:pt>
                <c:pt idx="69">
                  <c:v>18535.43621645333</c:v>
                </c:pt>
                <c:pt idx="70">
                  <c:v>19531.806681594699</c:v>
                </c:pt>
                <c:pt idx="71">
                  <c:v>20581.736938489164</c:v>
                </c:pt>
                <c:pt idx="72">
                  <c:v>21688.106088227145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E97-0E43-B6F5-D13CD8E5B26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'Problem 2'!$A$9:$A$81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'Problem 2'!$D$9:$D$81</c:f>
              <c:numCache>
                <c:formatCode>0</c:formatCode>
                <c:ptCount val="7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E97-0E43-B6F5-D13CD8E5B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6271"/>
        <c:axId val="4117759"/>
      </c:scatterChart>
      <c:valAx>
        <c:axId val="412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0" u="none" strike="noStrike">
                    <a:effectLst/>
                  </a:rPr>
                  <a:t>Contact angle, </a:t>
                </a:r>
                <a:r>
                  <a:rPr lang="el-GR" sz="2000" b="0" i="0" u="none" strike="noStrike">
                    <a:effectLst/>
                  </a:rPr>
                  <a:t>θ (</a:t>
                </a:r>
                <a:r>
                  <a:rPr lang="en-US" sz="2000" b="0" i="0" u="none" strike="noStrike">
                    <a:effectLst/>
                  </a:rPr>
                  <a:t>degrees)</a:t>
                </a:r>
                <a:endParaRPr lang="en-US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7759"/>
        <c:crosses val="autoZero"/>
        <c:crossBetween val="midCat"/>
      </c:valAx>
      <c:valAx>
        <c:axId val="411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0" u="none" strike="noStrike">
                    <a:effectLst/>
                  </a:rPr>
                  <a:t>Tension, T</a:t>
                </a:r>
                <a:r>
                  <a:rPr lang="en-US" sz="2000" b="0" i="0" u="none" strike="noStrike" baseline="-25000">
                    <a:effectLst/>
                  </a:rPr>
                  <a:t>2</a:t>
                </a:r>
                <a:r>
                  <a:rPr lang="en-US" sz="2000" b="0" i="0" u="none" strike="noStrike">
                    <a:effectLst/>
                  </a:rPr>
                  <a:t> (N)</a:t>
                </a:r>
                <a:endParaRPr lang="en-US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Determining</a:t>
            </a:r>
            <a:r>
              <a:rPr lang="en-US" sz="2000" baseline="0"/>
              <a:t> the force</a:t>
            </a:r>
            <a:r>
              <a:rPr lang="en-US" sz="2000" b="0" i="0" u="none" strike="noStrike">
                <a:effectLst/>
              </a:rPr>
              <a:t> T</a:t>
            </a:r>
            <a:r>
              <a:rPr lang="en-US" sz="2000" b="0" i="0" u="none" strike="noStrike" baseline="-25000">
                <a:effectLst/>
              </a:rPr>
              <a:t>2</a:t>
            </a:r>
            <a:r>
              <a:rPr lang="en-US" sz="2000">
                <a:effectLst/>
              </a:rPr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5580797788367907"/>
          <c:y val="3.6330273654687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'Problem 2'!$A$9:$A$81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'Problem 2'!$B$9:$B$81</c:f>
              <c:numCache>
                <c:formatCode>General</c:formatCode>
                <c:ptCount val="7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18-C74D-BACF-756964EDA38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2'!$A$9:$A$81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'Problem 2'!$C$9:$C$81</c:f>
              <c:numCache>
                <c:formatCode>0</c:formatCode>
                <c:ptCount val="73"/>
                <c:pt idx="0">
                  <c:v>500</c:v>
                </c:pt>
                <c:pt idx="1">
                  <c:v>526.87744851283639</c:v>
                </c:pt>
                <c:pt idx="2">
                  <c:v>555.19969150279303</c:v>
                </c:pt>
                <c:pt idx="3">
                  <c:v>585.04439374821095</c:v>
                </c:pt>
                <c:pt idx="4">
                  <c:v>616.49339488959322</c:v>
                </c:pt>
                <c:pt idx="5">
                  <c:v>649.63293384889062</c:v>
                </c:pt>
                <c:pt idx="6">
                  <c:v>684.5538853124234</c:v>
                </c:pt>
                <c:pt idx="7">
                  <c:v>721.35200892591683</c:v>
                </c:pt>
                <c:pt idx="8">
                  <c:v>760.12821188499174</c:v>
                </c:pt>
                <c:pt idx="9">
                  <c:v>800.98882564117821</c:v>
                </c:pt>
                <c:pt idx="10">
                  <c:v>844.0458974822343</c:v>
                </c:pt>
                <c:pt idx="11">
                  <c:v>889.41749778633334</c:v>
                </c:pt>
                <c:pt idx="12">
                  <c:v>937.22804379266904</c:v>
                </c:pt>
                <c:pt idx="13">
                  <c:v>987.60864077631675</c:v>
                </c:pt>
                <c:pt idx="14">
                  <c:v>1040.6974415629122</c:v>
                </c:pt>
                <c:pt idx="15">
                  <c:v>1096.6400253690076</c:v>
                </c:pt>
                <c:pt idx="16">
                  <c:v>1155.5897970069498</c:v>
                </c:pt>
                <c:pt idx="17">
                  <c:v>1217.7084075489765</c:v>
                </c:pt>
                <c:pt idx="18">
                  <c:v>1283.1661976040675</c:v>
                </c:pt>
                <c:pt idx="19">
                  <c:v>1352.1426644230985</c:v>
                </c:pt>
                <c:pt idx="20">
                  <c:v>1424.8269541131806</c:v>
                </c:pt>
                <c:pt idx="21">
                  <c:v>1501.4183803109377</c:v>
                </c:pt>
                <c:pt idx="22">
                  <c:v>1582.1269707370045</c:v>
                </c:pt>
                <c:pt idx="23">
                  <c:v>1667.1740431305116</c:v>
                </c:pt>
                <c:pt idx="24">
                  <c:v>1756.7928121428665</c:v>
                </c:pt>
                <c:pt idx="25">
                  <c:v>1851.2290288550487</c:v>
                </c:pt>
                <c:pt idx="26">
                  <c:v>1950.7416546720876</c:v>
                </c:pt>
                <c:pt idx="27">
                  <c:v>2055.6035714426762</c:v>
                </c:pt>
                <c:pt idx="28">
                  <c:v>2166.1023297511824</c:v>
                </c:pt>
                <c:pt idx="29">
                  <c:v>2282.5409374340275</c:v>
                </c:pt>
                <c:pt idx="30">
                  <c:v>2405.2386904826758</c:v>
                </c:pt>
                <c:pt idx="31">
                  <c:v>2534.5320486117362</c:v>
                </c:pt>
                <c:pt idx="32">
                  <c:v>2670.7755578931269</c:v>
                </c:pt>
                <c:pt idx="33">
                  <c:v>2814.3428229863548</c:v>
                </c:pt>
                <c:pt idx="34">
                  <c:v>2965.6275316309288</c:v>
                </c:pt>
                <c:pt idx="35">
                  <c:v>3125.0445342102489</c:v>
                </c:pt>
                <c:pt idx="36">
                  <c:v>3293.0309813473623</c:v>
                </c:pt>
                <c:pt idx="37">
                  <c:v>3470.0475226520389</c:v>
                </c:pt>
                <c:pt idx="38">
                  <c:v>3656.579569906391</c:v>
                </c:pt>
                <c:pt idx="39">
                  <c:v>3853.1386281528876</c:v>
                </c:pt>
                <c:pt idx="40">
                  <c:v>4060.2636983348875</c:v>
                </c:pt>
                <c:pt idx="41">
                  <c:v>4278.5227553359555</c:v>
                </c:pt>
                <c:pt idx="42">
                  <c:v>4508.5143054710388</c:v>
                </c:pt>
                <c:pt idx="43">
                  <c:v>4750.8690277004061</c:v>
                </c:pt>
                <c:pt idx="44">
                  <c:v>5006.251503066901</c:v>
                </c:pt>
                <c:pt idx="45">
                  <c:v>5275.362037098881</c:v>
                </c:pt>
                <c:pt idx="46">
                  <c:v>5558.9385801762737</c:v>
                </c:pt>
                <c:pt idx="47">
                  <c:v>5857.758751125687</c:v>
                </c:pt>
                <c:pt idx="48">
                  <c:v>6172.6419695936802</c:v>
                </c:pt>
                <c:pt idx="49">
                  <c:v>6504.4517030455399</c:v>
                </c:pt>
                <c:pt idx="50">
                  <c:v>6854.0978345512131</c:v>
                </c:pt>
                <c:pt idx="51">
                  <c:v>7222.5391578513991</c:v>
                </c:pt>
                <c:pt idx="52">
                  <c:v>7610.7860065455889</c:v>
                </c:pt>
                <c:pt idx="53">
                  <c:v>8019.90302461188</c:v>
                </c:pt>
                <c:pt idx="54">
                  <c:v>8451.012085855773</c:v>
                </c:pt>
                <c:pt idx="55">
                  <c:v>8905.2953702936629</c:v>
                </c:pt>
                <c:pt idx="56">
                  <c:v>9383.9986059069979</c:v>
                </c:pt>
                <c:pt idx="57">
                  <c:v>9888.4344846565837</c:v>
                </c:pt>
                <c:pt idx="58">
                  <c:v>10419.986262124417</c:v>
                </c:pt>
                <c:pt idx="59">
                  <c:v>10980.111550653837</c:v>
                </c:pt>
                <c:pt idx="60">
                  <c:v>11570.346316389634</c:v>
                </c:pt>
                <c:pt idx="61">
                  <c:v>12192.309091178528</c:v>
                </c:pt>
                <c:pt idx="62">
                  <c:v>12847.705410880008</c:v>
                </c:pt>
                <c:pt idx="63">
                  <c:v>13538.332492258038</c:v>
                </c:pt>
                <c:pt idx="64">
                  <c:v>14266.084161278686</c:v>
                </c:pt>
                <c:pt idx="65">
                  <c:v>15032.956046327801</c:v>
                </c:pt>
                <c:pt idx="66">
                  <c:v>15841.051050589613</c:v>
                </c:pt>
                <c:pt idx="67">
                  <c:v>16692.585118592495</c:v>
                </c:pt>
                <c:pt idx="68">
                  <c:v>17589.893312734708</c:v>
                </c:pt>
                <c:pt idx="69">
                  <c:v>18535.43621645333</c:v>
                </c:pt>
                <c:pt idx="70">
                  <c:v>19531.806681594699</c:v>
                </c:pt>
                <c:pt idx="71">
                  <c:v>20581.736938489164</c:v>
                </c:pt>
                <c:pt idx="72">
                  <c:v>21688.106088227145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18-C74D-BACF-756964EDA38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'Problem 2'!$A$9:$A$81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'Problem 2'!$D$9:$D$81</c:f>
              <c:numCache>
                <c:formatCode>0</c:formatCode>
                <c:ptCount val="7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C18-C74D-BACF-756964EDA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6271"/>
        <c:axId val="4117759"/>
      </c:scatterChart>
      <c:valAx>
        <c:axId val="412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0" u="none" strike="noStrike">
                    <a:effectLst/>
                  </a:rPr>
                  <a:t>Contact angle, </a:t>
                </a:r>
                <a:r>
                  <a:rPr lang="el-GR" sz="2000" b="0" i="0" u="none" strike="noStrike">
                    <a:effectLst/>
                  </a:rPr>
                  <a:t>θ (</a:t>
                </a:r>
                <a:r>
                  <a:rPr lang="en-US" sz="2000" b="0" i="0" u="none" strike="noStrike">
                    <a:effectLst/>
                  </a:rPr>
                  <a:t>degrees)</a:t>
                </a:r>
                <a:endParaRPr lang="en-US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7759"/>
        <c:crosses val="autoZero"/>
        <c:crossBetween val="midCat"/>
      </c:valAx>
      <c:valAx>
        <c:axId val="41177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0" u="none" strike="noStrike">
                    <a:effectLst/>
                  </a:rPr>
                  <a:t>Tension, T</a:t>
                </a:r>
                <a:r>
                  <a:rPr lang="en-US" sz="2000" b="0" i="0" u="none" strike="noStrike" baseline="-25000">
                    <a:effectLst/>
                  </a:rPr>
                  <a:t>2</a:t>
                </a:r>
                <a:r>
                  <a:rPr lang="en-US" sz="2000" b="0" i="0" u="none" strike="noStrike">
                    <a:effectLst/>
                  </a:rPr>
                  <a:t> (N)</a:t>
                </a:r>
                <a:endParaRPr lang="en-US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Determining</a:t>
            </a:r>
            <a:r>
              <a:rPr lang="en-US" sz="2000" baseline="0"/>
              <a:t> the percent elongation of electrical conducting material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8.4257607447618872E-4"/>
                  <c:y val="0.157070157423416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3'!$A$4:$A$10</c:f>
              <c:numCache>
                <c:formatCode>General</c:formatCode>
                <c:ptCount val="7"/>
                <c:pt idx="0">
                  <c:v>200</c:v>
                </c:pt>
                <c:pt idx="1">
                  <c:v>250</c:v>
                </c:pt>
                <c:pt idx="2">
                  <c:v>300</c:v>
                </c:pt>
                <c:pt idx="3">
                  <c:v>375</c:v>
                </c:pt>
                <c:pt idx="4">
                  <c:v>425</c:v>
                </c:pt>
                <c:pt idx="5">
                  <c:v>475</c:v>
                </c:pt>
                <c:pt idx="6">
                  <c:v>600</c:v>
                </c:pt>
              </c:numCache>
            </c:numRef>
          </c:xVal>
          <c:yVal>
            <c:numRef>
              <c:f>'Problem 3'!$B$4:$B$10</c:f>
              <c:numCache>
                <c:formatCode>0.0</c:formatCode>
                <c:ptCount val="7"/>
                <c:pt idx="0">
                  <c:v>7.2</c:v>
                </c:pt>
                <c:pt idx="1">
                  <c:v>8.1</c:v>
                </c:pt>
                <c:pt idx="2">
                  <c:v>9</c:v>
                </c:pt>
                <c:pt idx="3">
                  <c:v>10.5</c:v>
                </c:pt>
                <c:pt idx="4">
                  <c:v>11.5</c:v>
                </c:pt>
                <c:pt idx="5">
                  <c:v>12.6</c:v>
                </c:pt>
                <c:pt idx="6">
                  <c:v>15.1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73-E747-AEC7-B9E1332B5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8991"/>
        <c:axId val="2110052032"/>
      </c:scatterChart>
      <c:valAx>
        <c:axId val="410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>
                    <a:effectLst/>
                  </a:rPr>
                  <a:t>Temp (</a:t>
                </a:r>
                <a:r>
                  <a:rPr lang="en-US" sz="1800" b="0" i="0" u="none" strike="noStrike" baseline="30000">
                    <a:effectLst/>
                  </a:rPr>
                  <a:t>o</a:t>
                </a:r>
                <a:r>
                  <a:rPr lang="en-US" sz="1800" b="0" i="0" u="none" strike="noStrike">
                    <a:effectLst/>
                  </a:rPr>
                  <a:t>C)</a:t>
                </a:r>
                <a:endParaRPr lang="en-US" sz="2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52032"/>
        <c:crosses val="autoZero"/>
        <c:crossBetween val="midCat"/>
      </c:valAx>
      <c:valAx>
        <c:axId val="211005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%</a:t>
                </a:r>
                <a:r>
                  <a:rPr lang="en-US" sz="2000" baseline="0"/>
                  <a:t> elongation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Determining</a:t>
            </a:r>
            <a:r>
              <a:rPr lang="en-US" sz="2000" baseline="0"/>
              <a:t> the number of bacteria over time per 100 mL sample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4.2708732358829571E-5"/>
                  <c:y val="-2.41482493670099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3'!$A$17:$A$22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'Problem 3'!$B$17:$B$22</c:f>
              <c:numCache>
                <c:formatCode>General</c:formatCode>
                <c:ptCount val="6"/>
                <c:pt idx="0">
                  <c:v>430</c:v>
                </c:pt>
                <c:pt idx="1">
                  <c:v>190</c:v>
                </c:pt>
                <c:pt idx="2">
                  <c:v>80</c:v>
                </c:pt>
                <c:pt idx="3">
                  <c:v>35</c:v>
                </c:pt>
                <c:pt idx="4">
                  <c:v>16</c:v>
                </c:pt>
                <c:pt idx="5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51-B442-A8D0-3127BC794C4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'Problem 3'!$A$17:$A$22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'Problem 3'!$C$17:$C$22</c:f>
              <c:numCache>
                <c:formatCode>General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51-B442-A8D0-3127BC794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9951"/>
        <c:axId val="19665727"/>
      </c:scatterChart>
      <c:valAx>
        <c:axId val="1950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Time</a:t>
                </a:r>
                <a:r>
                  <a:rPr lang="en-US" sz="2000" baseline="0"/>
                  <a:t> (hr)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5727"/>
        <c:crosses val="autoZero"/>
        <c:crossBetween val="midCat"/>
      </c:valAx>
      <c:valAx>
        <c:axId val="1966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Bacteria</a:t>
                </a:r>
                <a:r>
                  <a:rPr lang="en-US" sz="2000" baseline="0"/>
                  <a:t> Count (#/100 mL)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Defining</a:t>
            </a:r>
            <a:r>
              <a:rPr lang="en-US" sz="2000" baseline="0"/>
              <a:t> the relationship between applied stress and the time to fracture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'Problem 3'!$A$29:$A$34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</c:numCache>
            </c:numRef>
          </c:xVal>
          <c:yVal>
            <c:numRef>
              <c:f>'Problem 3'!$B$29:$B$34</c:f>
              <c:numCache>
                <c:formatCode>General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52-2446-9AC9-0DDB858F2FD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1.2983251845186561E-3"/>
                  <c:y val="6.71588547093000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3'!$A$29:$A$34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</c:numCache>
            </c:numRef>
          </c:xVal>
          <c:yVal>
            <c:numRef>
              <c:f>'Problem 3'!$C$29:$C$34</c:f>
              <c:numCache>
                <c:formatCode>General</c:formatCode>
                <c:ptCount val="6"/>
                <c:pt idx="0">
                  <c:v>40</c:v>
                </c:pt>
                <c:pt idx="1">
                  <c:v>30</c:v>
                </c:pt>
                <c:pt idx="2">
                  <c:v>25</c:v>
                </c:pt>
                <c:pt idx="3">
                  <c:v>22</c:v>
                </c:pt>
                <c:pt idx="4">
                  <c:v>18</c:v>
                </c:pt>
                <c:pt idx="5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52-2446-9AC9-0DDB858F2FD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'Problem 3'!$A$29:$A$34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</c:numCache>
            </c:numRef>
          </c:xVal>
          <c:yVal>
            <c:numRef>
              <c:f>'Problem 3'!$D$29:$D$34</c:f>
              <c:numCache>
                <c:formatCode>General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52-2446-9AC9-0DDB858F2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6991"/>
        <c:axId val="19274751"/>
      </c:scatterChart>
      <c:valAx>
        <c:axId val="1927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Applied</a:t>
                </a:r>
                <a:r>
                  <a:rPr lang="en-US" sz="2000" baseline="0"/>
                  <a:t> stress (MPa)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751"/>
        <c:crosses val="autoZero"/>
        <c:crossBetween val="midCat"/>
      </c:valAx>
      <c:valAx>
        <c:axId val="192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Fracture</a:t>
                </a:r>
                <a:r>
                  <a:rPr lang="en-US" sz="2000" baseline="0"/>
                  <a:t> time (hr)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E778BC-C8DE-2048-913D-D2AB07D04BAC}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55C3C9-59BB-2246-9198-858D6E7D4216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95306B-2083-784C-93C8-AE2975380962}">
  <sheetPr/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DDC42C-0B5F-844A-B15E-D82C9FA021AB}">
  <sheetPr/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0C4B80-2121-644C-95EC-5A9216A81AB9}">
  <sheetPr/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908CD2-1EF1-1148-B7BD-6E2C3EECBAA9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584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C9054-416D-CCAF-596A-18FA70CE1D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584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5CA1E-54B7-66C4-AB73-D0395E7A54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584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CCE60F-CAF6-5051-21BE-CB61522FB9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5584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60981F-7DF9-3C98-CC74-4C60334865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5584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E31D0-D990-3966-514B-AD885BD155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5584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D63ED6-E1C8-070E-C039-9B0D0647D7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3E74-1B5C-674C-9A62-92A881F3E05B}">
  <dimension ref="A1:G20"/>
  <sheetViews>
    <sheetView tabSelected="1" zoomScale="118" zoomScaleNormal="100" workbookViewId="0">
      <selection sqref="A1:C1"/>
    </sheetView>
  </sheetViews>
  <sheetFormatPr baseColWidth="10" defaultRowHeight="16" x14ac:dyDescent="0.2"/>
  <sheetData>
    <row r="1" spans="1:4" x14ac:dyDescent="0.2">
      <c r="A1" s="8" t="s">
        <v>9</v>
      </c>
      <c r="B1" s="8"/>
      <c r="C1" s="8"/>
    </row>
    <row r="2" spans="1:4" x14ac:dyDescent="0.2">
      <c r="A2" s="8" t="s">
        <v>18</v>
      </c>
      <c r="B2" s="8"/>
      <c r="C2" s="8"/>
      <c r="D2" s="1">
        <v>10000</v>
      </c>
    </row>
    <row r="3" spans="1:4" ht="19" x14ac:dyDescent="0.2">
      <c r="A3" s="8" t="s">
        <v>22</v>
      </c>
      <c r="B3" s="8"/>
      <c r="C3" s="8"/>
      <c r="D3" s="6">
        <v>200000000000</v>
      </c>
    </row>
    <row r="4" spans="1:4" ht="19" x14ac:dyDescent="0.2">
      <c r="A4" s="8" t="s">
        <v>21</v>
      </c>
      <c r="B4" s="8"/>
      <c r="C4" s="8"/>
      <c r="D4" s="6">
        <v>9.9099999999999996E-5</v>
      </c>
    </row>
    <row r="5" spans="1:4" x14ac:dyDescent="0.2">
      <c r="A5" s="8" t="s">
        <v>20</v>
      </c>
      <c r="B5" s="8"/>
      <c r="C5" s="8"/>
      <c r="D5" s="1">
        <v>5</v>
      </c>
    </row>
    <row r="7" spans="1:4" x14ac:dyDescent="0.2">
      <c r="A7" s="9" t="s">
        <v>19</v>
      </c>
      <c r="B7" s="9"/>
      <c r="C7" s="9" t="s">
        <v>28</v>
      </c>
      <c r="D7" s="9"/>
    </row>
    <row r="8" spans="1:4" x14ac:dyDescent="0.2">
      <c r="A8" s="7">
        <v>0</v>
      </c>
      <c r="B8" s="7"/>
      <c r="C8" s="10">
        <f xml:space="preserve"> -$D$2*A8^2/(24*$D$3*$D$4)*(A8^2 - 4*$D$5*A8 + 6*$D$5^2)*1000</f>
        <v>0</v>
      </c>
      <c r="D8" s="10"/>
    </row>
    <row r="9" spans="1:4" x14ac:dyDescent="0.2">
      <c r="A9" s="7">
        <v>0.5</v>
      </c>
      <c r="B9" s="7"/>
      <c r="C9" s="10">
        <f t="shared" ref="C9:C11" si="0" xml:space="preserve"> -$D$2*A9^2/(24*$D$3*$D$4)*(A9^2 - 4*$D$5*A9 + 6*$D$5^2)*1000</f>
        <v>-0.73710267406659946</v>
      </c>
      <c r="D9" s="10"/>
    </row>
    <row r="10" spans="1:4" x14ac:dyDescent="0.2">
      <c r="A10" s="7">
        <v>1</v>
      </c>
      <c r="B10" s="7"/>
      <c r="C10" s="10">
        <f t="shared" si="0"/>
        <v>-2.7539522367978475</v>
      </c>
      <c r="D10" s="10"/>
    </row>
    <row r="11" spans="1:4" x14ac:dyDescent="0.2">
      <c r="A11" s="7">
        <v>1.5</v>
      </c>
      <c r="B11" s="7"/>
      <c r="C11" s="10">
        <f t="shared" si="0"/>
        <v>-5.7825113521695251</v>
      </c>
      <c r="D11" s="10"/>
    </row>
    <row r="12" spans="1:4" x14ac:dyDescent="0.2">
      <c r="A12" s="7">
        <v>2</v>
      </c>
      <c r="B12" s="7"/>
      <c r="C12" s="10">
        <f t="shared" ref="C12:C14" si="1" xml:space="preserve"> -$D$2*A12^2/(24*$D$3*$D$4)*(A12^2 - 4*$D$5*A12 + 6*$D$5^2)*1000</f>
        <v>-9.5862764883955602</v>
      </c>
      <c r="D12" s="10"/>
    </row>
    <row r="13" spans="1:4" x14ac:dyDescent="0.2">
      <c r="A13" s="7">
        <v>2.5</v>
      </c>
      <c r="B13" s="7"/>
      <c r="C13" s="10">
        <f t="shared" si="1"/>
        <v>-13.960277917928019</v>
      </c>
      <c r="D13" s="10"/>
    </row>
    <row r="14" spans="1:4" x14ac:dyDescent="0.2">
      <c r="A14" s="7">
        <v>3</v>
      </c>
      <c r="B14" s="7"/>
      <c r="C14" s="10">
        <f t="shared" si="1"/>
        <v>-18.731079717457114</v>
      </c>
      <c r="D14" s="10"/>
    </row>
    <row r="15" spans="1:4" x14ac:dyDescent="0.2">
      <c r="A15" s="7">
        <v>3.5</v>
      </c>
      <c r="B15" s="7"/>
      <c r="C15" s="10">
        <f xml:space="preserve"> -$D$2*A15^2/(24*$D$3*$D$4)*(A15^2 - 4*$D$5*A15 + 6*$D$5^2)*1000</f>
        <v>-23.756779767911201</v>
      </c>
      <c r="D15" s="10"/>
    </row>
    <row r="16" spans="1:4" x14ac:dyDescent="0.2">
      <c r="A16" s="7">
        <v>4</v>
      </c>
      <c r="B16" s="7"/>
      <c r="C16" s="10">
        <f t="shared" ref="C16:C18" si="2" xml:space="preserve"> -$D$2*A16^2/(24*$D$3*$D$4)*(A16^2 - 4*$D$5*A16 + 6*$D$5^2)*1000</f>
        <v>-28.92700975445678</v>
      </c>
      <c r="D16" s="10"/>
    </row>
    <row r="17" spans="1:7" x14ac:dyDescent="0.2">
      <c r="A17" s="7">
        <v>4.5</v>
      </c>
      <c r="B17" s="7"/>
      <c r="C17" s="10">
        <f t="shared" si="2"/>
        <v>-34.162935166498485</v>
      </c>
      <c r="D17" s="10"/>
    </row>
    <row r="18" spans="1:7" x14ac:dyDescent="0.2">
      <c r="A18" s="7">
        <v>5</v>
      </c>
      <c r="B18" s="7"/>
      <c r="C18" s="10">
        <f t="shared" si="2"/>
        <v>-39.417255297679112</v>
      </c>
      <c r="D18" s="10"/>
    </row>
    <row r="20" spans="1:7" x14ac:dyDescent="0.2">
      <c r="A20" s="8" t="s">
        <v>23</v>
      </c>
      <c r="B20" s="8"/>
      <c r="C20" s="8"/>
      <c r="D20" s="8"/>
      <c r="E20" s="1">
        <v>-39.42</v>
      </c>
      <c r="F20" s="4"/>
      <c r="G20" s="4"/>
    </row>
  </sheetData>
  <mergeCells count="30">
    <mergeCell ref="A1:C1"/>
    <mergeCell ref="A20:D20"/>
    <mergeCell ref="C12:D12"/>
    <mergeCell ref="A12:B12"/>
    <mergeCell ref="A13:B13"/>
    <mergeCell ref="A14:B14"/>
    <mergeCell ref="A15:B15"/>
    <mergeCell ref="A17:B17"/>
    <mergeCell ref="C17:D17"/>
    <mergeCell ref="A18:B18"/>
    <mergeCell ref="C18:D18"/>
    <mergeCell ref="A16:B16"/>
    <mergeCell ref="C13:D13"/>
    <mergeCell ref="C14:D14"/>
    <mergeCell ref="C15:D15"/>
    <mergeCell ref="C16:D16"/>
    <mergeCell ref="A11:B11"/>
    <mergeCell ref="A3:C3"/>
    <mergeCell ref="A4:C4"/>
    <mergeCell ref="A2:C2"/>
    <mergeCell ref="A5:C5"/>
    <mergeCell ref="A7:B7"/>
    <mergeCell ref="C7:D7"/>
    <mergeCell ref="A8:B8"/>
    <mergeCell ref="A9:B9"/>
    <mergeCell ref="A10:B10"/>
    <mergeCell ref="C8:D8"/>
    <mergeCell ref="C9:D9"/>
    <mergeCell ref="C10:D10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A830-8186-834F-9F69-90A81402FC21}">
  <dimension ref="A1:G85"/>
  <sheetViews>
    <sheetView zoomScaleNormal="100" workbookViewId="0">
      <selection sqref="A1:B1"/>
    </sheetView>
  </sheetViews>
  <sheetFormatPr baseColWidth="10" defaultRowHeight="16" x14ac:dyDescent="0.2"/>
  <sheetData>
    <row r="1" spans="1:4" x14ac:dyDescent="0.2">
      <c r="A1" s="8" t="s">
        <v>9</v>
      </c>
      <c r="B1" s="8"/>
    </row>
    <row r="2" spans="1:4" x14ac:dyDescent="0.2">
      <c r="A2" s="15" t="s">
        <v>10</v>
      </c>
      <c r="B2" s="15"/>
      <c r="C2" s="1">
        <v>0.3</v>
      </c>
    </row>
    <row r="3" spans="1:4" x14ac:dyDescent="0.2">
      <c r="A3" s="8" t="s">
        <v>14</v>
      </c>
      <c r="B3" s="8"/>
      <c r="C3" s="1" t="s">
        <v>15</v>
      </c>
    </row>
    <row r="4" spans="1:4" ht="18" x14ac:dyDescent="0.2">
      <c r="A4" s="8" t="s">
        <v>11</v>
      </c>
      <c r="B4" s="8"/>
      <c r="C4" s="1">
        <v>500</v>
      </c>
    </row>
    <row r="6" spans="1:4" x14ac:dyDescent="0.2">
      <c r="A6" t="s">
        <v>12</v>
      </c>
    </row>
    <row r="8" spans="1:4" ht="18" x14ac:dyDescent="0.2">
      <c r="A8" s="14" t="s">
        <v>14</v>
      </c>
      <c r="B8" s="14"/>
      <c r="C8" s="14" t="s">
        <v>13</v>
      </c>
      <c r="D8" s="14"/>
    </row>
    <row r="9" spans="1:4" x14ac:dyDescent="0.2">
      <c r="A9" s="14">
        <v>0</v>
      </c>
      <c r="B9" s="14"/>
      <c r="C9" s="11">
        <f>$C$4*EXP($C$2*RADIANS(A9))</f>
        <v>500</v>
      </c>
      <c r="D9" s="11"/>
    </row>
    <row r="10" spans="1:4" x14ac:dyDescent="0.2">
      <c r="A10" s="12">
        <f>A9+10</f>
        <v>10</v>
      </c>
      <c r="B10" s="13"/>
      <c r="C10" s="11">
        <f t="shared" ref="C10:C15" si="0">$C$4*EXP($C$2*RADIANS(A10))</f>
        <v>526.87744851283639</v>
      </c>
      <c r="D10" s="11"/>
    </row>
    <row r="11" spans="1:4" x14ac:dyDescent="0.2">
      <c r="A11" s="12">
        <f t="shared" ref="A11:A23" si="1">A10+10</f>
        <v>20</v>
      </c>
      <c r="B11" s="13"/>
      <c r="C11" s="11">
        <f t="shared" si="0"/>
        <v>555.19969150279303</v>
      </c>
      <c r="D11" s="11"/>
    </row>
    <row r="12" spans="1:4" x14ac:dyDescent="0.2">
      <c r="A12" s="12">
        <f t="shared" si="1"/>
        <v>30</v>
      </c>
      <c r="B12" s="13"/>
      <c r="C12" s="11">
        <f t="shared" si="0"/>
        <v>585.04439374821095</v>
      </c>
      <c r="D12" s="11"/>
    </row>
    <row r="13" spans="1:4" x14ac:dyDescent="0.2">
      <c r="A13" s="12">
        <f t="shared" si="1"/>
        <v>40</v>
      </c>
      <c r="B13" s="13"/>
      <c r="C13" s="11">
        <f t="shared" si="0"/>
        <v>616.49339488959322</v>
      </c>
      <c r="D13" s="11"/>
    </row>
    <row r="14" spans="1:4" x14ac:dyDescent="0.2">
      <c r="A14" s="12">
        <f t="shared" si="1"/>
        <v>50</v>
      </c>
      <c r="B14" s="13"/>
      <c r="C14" s="11">
        <f t="shared" si="0"/>
        <v>649.63293384889062</v>
      </c>
      <c r="D14" s="11"/>
    </row>
    <row r="15" spans="1:4" x14ac:dyDescent="0.2">
      <c r="A15" s="12">
        <f t="shared" si="1"/>
        <v>60</v>
      </c>
      <c r="B15" s="13"/>
      <c r="C15" s="11">
        <f t="shared" si="0"/>
        <v>684.5538853124234</v>
      </c>
      <c r="D15" s="11"/>
    </row>
    <row r="16" spans="1:4" x14ac:dyDescent="0.2">
      <c r="A16" s="12">
        <f t="shared" si="1"/>
        <v>70</v>
      </c>
      <c r="B16" s="13"/>
      <c r="C16" s="11">
        <f t="shared" ref="C16:C19" si="2">$C$4*EXP($C$2*RADIANS(A16))</f>
        <v>721.35200892591683</v>
      </c>
      <c r="D16" s="11"/>
    </row>
    <row r="17" spans="1:4" x14ac:dyDescent="0.2">
      <c r="A17" s="12">
        <f t="shared" si="1"/>
        <v>80</v>
      </c>
      <c r="B17" s="13"/>
      <c r="C17" s="11">
        <f t="shared" si="2"/>
        <v>760.12821188499174</v>
      </c>
      <c r="D17" s="11"/>
    </row>
    <row r="18" spans="1:4" x14ac:dyDescent="0.2">
      <c r="A18" s="12">
        <f t="shared" si="1"/>
        <v>90</v>
      </c>
      <c r="B18" s="13"/>
      <c r="C18" s="11">
        <f t="shared" si="2"/>
        <v>800.98882564117821</v>
      </c>
      <c r="D18" s="11"/>
    </row>
    <row r="19" spans="1:4" x14ac:dyDescent="0.2">
      <c r="A19" s="12">
        <f t="shared" si="1"/>
        <v>100</v>
      </c>
      <c r="B19" s="13"/>
      <c r="C19" s="11">
        <f t="shared" si="2"/>
        <v>844.0458974822343</v>
      </c>
      <c r="D19" s="11"/>
    </row>
    <row r="20" spans="1:4" x14ac:dyDescent="0.2">
      <c r="A20" s="12">
        <f t="shared" si="1"/>
        <v>110</v>
      </c>
      <c r="B20" s="13"/>
      <c r="C20" s="11">
        <f t="shared" ref="C20:C57" si="3">$C$4*EXP($C$2*RADIANS(A20))</f>
        <v>889.41749778633334</v>
      </c>
      <c r="D20" s="11"/>
    </row>
    <row r="21" spans="1:4" x14ac:dyDescent="0.2">
      <c r="A21" s="12">
        <f t="shared" si="1"/>
        <v>120</v>
      </c>
      <c r="B21" s="13"/>
      <c r="C21" s="11">
        <f t="shared" si="3"/>
        <v>937.22804379266904</v>
      </c>
      <c r="D21" s="11"/>
    </row>
    <row r="22" spans="1:4" x14ac:dyDescent="0.2">
      <c r="A22" s="12">
        <f t="shared" si="1"/>
        <v>130</v>
      </c>
      <c r="B22" s="13"/>
      <c r="C22" s="11">
        <f t="shared" si="3"/>
        <v>987.60864077631675</v>
      </c>
      <c r="D22" s="11"/>
    </row>
    <row r="23" spans="1:4" x14ac:dyDescent="0.2">
      <c r="A23" s="12">
        <f t="shared" si="1"/>
        <v>140</v>
      </c>
      <c r="B23" s="13"/>
      <c r="C23" s="11">
        <f t="shared" si="3"/>
        <v>1040.6974415629122</v>
      </c>
      <c r="D23" s="11"/>
    </row>
    <row r="24" spans="1:4" x14ac:dyDescent="0.2">
      <c r="A24" s="12">
        <f t="shared" ref="A24:A37" si="4">A23+10</f>
        <v>150</v>
      </c>
      <c r="B24" s="13"/>
      <c r="C24" s="11">
        <f t="shared" si="3"/>
        <v>1096.6400253690076</v>
      </c>
      <c r="D24" s="11"/>
    </row>
    <row r="25" spans="1:4" x14ac:dyDescent="0.2">
      <c r="A25" s="12">
        <f t="shared" si="4"/>
        <v>160</v>
      </c>
      <c r="B25" s="13"/>
      <c r="C25" s="11">
        <f t="shared" si="3"/>
        <v>1155.5897970069498</v>
      </c>
      <c r="D25" s="11"/>
    </row>
    <row r="26" spans="1:4" x14ac:dyDescent="0.2">
      <c r="A26" s="12">
        <f t="shared" si="4"/>
        <v>170</v>
      </c>
      <c r="B26" s="13"/>
      <c r="C26" s="11">
        <f t="shared" si="3"/>
        <v>1217.7084075489765</v>
      </c>
      <c r="D26" s="11"/>
    </row>
    <row r="27" spans="1:4" x14ac:dyDescent="0.2">
      <c r="A27" s="12">
        <f t="shared" si="4"/>
        <v>180</v>
      </c>
      <c r="B27" s="13"/>
      <c r="C27" s="11">
        <f t="shared" si="3"/>
        <v>1283.1661976040675</v>
      </c>
      <c r="D27" s="11"/>
    </row>
    <row r="28" spans="1:4" x14ac:dyDescent="0.2">
      <c r="A28" s="12">
        <f t="shared" si="4"/>
        <v>190</v>
      </c>
      <c r="B28" s="13"/>
      <c r="C28" s="11">
        <f t="shared" si="3"/>
        <v>1352.1426644230985</v>
      </c>
      <c r="D28" s="11"/>
    </row>
    <row r="29" spans="1:4" x14ac:dyDescent="0.2">
      <c r="A29" s="12">
        <f t="shared" si="4"/>
        <v>200</v>
      </c>
      <c r="B29" s="13"/>
      <c r="C29" s="11">
        <f t="shared" si="3"/>
        <v>1424.8269541131806</v>
      </c>
      <c r="D29" s="11"/>
    </row>
    <row r="30" spans="1:4" x14ac:dyDescent="0.2">
      <c r="A30" s="12">
        <f t="shared" si="4"/>
        <v>210</v>
      </c>
      <c r="B30" s="13"/>
      <c r="C30" s="11">
        <f t="shared" si="3"/>
        <v>1501.4183803109377</v>
      </c>
      <c r="D30" s="11"/>
    </row>
    <row r="31" spans="1:4" x14ac:dyDescent="0.2">
      <c r="A31" s="12">
        <f t="shared" si="4"/>
        <v>220</v>
      </c>
      <c r="B31" s="13"/>
      <c r="C31" s="11">
        <f t="shared" si="3"/>
        <v>1582.1269707370045</v>
      </c>
      <c r="D31" s="11"/>
    </row>
    <row r="32" spans="1:4" x14ac:dyDescent="0.2">
      <c r="A32" s="12">
        <f t="shared" si="4"/>
        <v>230</v>
      </c>
      <c r="B32" s="13"/>
      <c r="C32" s="11">
        <f t="shared" si="3"/>
        <v>1667.1740431305116</v>
      </c>
      <c r="D32" s="11"/>
    </row>
    <row r="33" spans="1:4" x14ac:dyDescent="0.2">
      <c r="A33" s="12">
        <f t="shared" si="4"/>
        <v>240</v>
      </c>
      <c r="B33" s="13"/>
      <c r="C33" s="11">
        <f t="shared" si="3"/>
        <v>1756.7928121428665</v>
      </c>
      <c r="D33" s="11"/>
    </row>
    <row r="34" spans="1:4" x14ac:dyDescent="0.2">
      <c r="A34" s="12">
        <f t="shared" si="4"/>
        <v>250</v>
      </c>
      <c r="B34" s="13"/>
      <c r="C34" s="11">
        <f t="shared" si="3"/>
        <v>1851.2290288550487</v>
      </c>
      <c r="D34" s="11"/>
    </row>
    <row r="35" spans="1:4" x14ac:dyDescent="0.2">
      <c r="A35" s="12">
        <f t="shared" si="4"/>
        <v>260</v>
      </c>
      <c r="B35" s="13"/>
      <c r="C35" s="11">
        <f t="shared" si="3"/>
        <v>1950.7416546720876</v>
      </c>
      <c r="D35" s="11"/>
    </row>
    <row r="36" spans="1:4" x14ac:dyDescent="0.2">
      <c r="A36" s="12">
        <f t="shared" si="4"/>
        <v>270</v>
      </c>
      <c r="B36" s="13"/>
      <c r="C36" s="11">
        <f t="shared" si="3"/>
        <v>2055.6035714426762</v>
      </c>
      <c r="D36" s="11"/>
    </row>
    <row r="37" spans="1:4" x14ac:dyDescent="0.2">
      <c r="A37" s="12">
        <f t="shared" si="4"/>
        <v>280</v>
      </c>
      <c r="B37" s="13"/>
      <c r="C37" s="11">
        <f t="shared" si="3"/>
        <v>2166.1023297511824</v>
      </c>
      <c r="D37" s="11"/>
    </row>
    <row r="38" spans="1:4" x14ac:dyDescent="0.2">
      <c r="A38" s="12">
        <f>A37+10</f>
        <v>290</v>
      </c>
      <c r="B38" s="13"/>
      <c r="C38" s="11">
        <f t="shared" si="3"/>
        <v>2282.5409374340275</v>
      </c>
      <c r="D38" s="11"/>
    </row>
    <row r="39" spans="1:4" x14ac:dyDescent="0.2">
      <c r="A39" s="12">
        <f t="shared" ref="A39:A51" si="5">A38+10</f>
        <v>300</v>
      </c>
      <c r="B39" s="13"/>
      <c r="C39" s="11">
        <f t="shared" si="3"/>
        <v>2405.2386904826758</v>
      </c>
      <c r="D39" s="11"/>
    </row>
    <row r="40" spans="1:4" x14ac:dyDescent="0.2">
      <c r="A40" s="12">
        <f t="shared" si="5"/>
        <v>310</v>
      </c>
      <c r="B40" s="13"/>
      <c r="C40" s="11">
        <f t="shared" si="3"/>
        <v>2534.5320486117362</v>
      </c>
      <c r="D40" s="11"/>
    </row>
    <row r="41" spans="1:4" x14ac:dyDescent="0.2">
      <c r="A41" s="12">
        <f t="shared" si="5"/>
        <v>320</v>
      </c>
      <c r="B41" s="13"/>
      <c r="C41" s="11">
        <f t="shared" si="3"/>
        <v>2670.7755578931269</v>
      </c>
      <c r="D41" s="11"/>
    </row>
    <row r="42" spans="1:4" x14ac:dyDescent="0.2">
      <c r="A42" s="12">
        <f t="shared" si="5"/>
        <v>330</v>
      </c>
      <c r="B42" s="13"/>
      <c r="C42" s="11">
        <f t="shared" si="3"/>
        <v>2814.3428229863548</v>
      </c>
      <c r="D42" s="11"/>
    </row>
    <row r="43" spans="1:4" x14ac:dyDescent="0.2">
      <c r="A43" s="12">
        <f t="shared" si="5"/>
        <v>340</v>
      </c>
      <c r="B43" s="13"/>
      <c r="C43" s="11">
        <f t="shared" si="3"/>
        <v>2965.6275316309288</v>
      </c>
      <c r="D43" s="11"/>
    </row>
    <row r="44" spans="1:4" x14ac:dyDescent="0.2">
      <c r="A44" s="12">
        <f t="shared" si="5"/>
        <v>350</v>
      </c>
      <c r="B44" s="13"/>
      <c r="C44" s="11">
        <f t="shared" si="3"/>
        <v>3125.0445342102489</v>
      </c>
      <c r="D44" s="11"/>
    </row>
    <row r="45" spans="1:4" x14ac:dyDescent="0.2">
      <c r="A45" s="12">
        <f t="shared" si="5"/>
        <v>360</v>
      </c>
      <c r="B45" s="13"/>
      <c r="C45" s="11">
        <f t="shared" si="3"/>
        <v>3293.0309813473623</v>
      </c>
      <c r="D45" s="11"/>
    </row>
    <row r="46" spans="1:4" x14ac:dyDescent="0.2">
      <c r="A46" s="12">
        <f t="shared" si="5"/>
        <v>370</v>
      </c>
      <c r="B46" s="13"/>
      <c r="C46" s="11">
        <f t="shared" si="3"/>
        <v>3470.0475226520389</v>
      </c>
      <c r="D46" s="11"/>
    </row>
    <row r="47" spans="1:4" x14ac:dyDescent="0.2">
      <c r="A47" s="12">
        <f t="shared" si="5"/>
        <v>380</v>
      </c>
      <c r="B47" s="13"/>
      <c r="C47" s="11">
        <f t="shared" si="3"/>
        <v>3656.579569906391</v>
      </c>
      <c r="D47" s="11"/>
    </row>
    <row r="48" spans="1:4" x14ac:dyDescent="0.2">
      <c r="A48" s="12">
        <f t="shared" si="5"/>
        <v>390</v>
      </c>
      <c r="B48" s="13"/>
      <c r="C48" s="11">
        <f t="shared" si="3"/>
        <v>3853.1386281528876</v>
      </c>
      <c r="D48" s="11"/>
    </row>
    <row r="49" spans="1:4" x14ac:dyDescent="0.2">
      <c r="A49" s="12">
        <f t="shared" si="5"/>
        <v>400</v>
      </c>
      <c r="B49" s="13"/>
      <c r="C49" s="11">
        <f t="shared" si="3"/>
        <v>4060.2636983348875</v>
      </c>
      <c r="D49" s="11"/>
    </row>
    <row r="50" spans="1:4" x14ac:dyDescent="0.2">
      <c r="A50" s="12">
        <f t="shared" si="5"/>
        <v>410</v>
      </c>
      <c r="B50" s="13"/>
      <c r="C50" s="11">
        <f t="shared" si="3"/>
        <v>4278.5227553359555</v>
      </c>
      <c r="D50" s="11"/>
    </row>
    <row r="51" spans="1:4" x14ac:dyDescent="0.2">
      <c r="A51" s="12">
        <f t="shared" si="5"/>
        <v>420</v>
      </c>
      <c r="B51" s="13"/>
      <c r="C51" s="11">
        <f t="shared" si="3"/>
        <v>4508.5143054710388</v>
      </c>
      <c r="D51" s="11"/>
    </row>
    <row r="52" spans="1:4" x14ac:dyDescent="0.2">
      <c r="A52" s="12">
        <f>A51+10</f>
        <v>430</v>
      </c>
      <c r="B52" s="13"/>
      <c r="C52" s="11">
        <f t="shared" si="3"/>
        <v>4750.8690277004061</v>
      </c>
      <c r="D52" s="11"/>
    </row>
    <row r="53" spans="1:4" x14ac:dyDescent="0.2">
      <c r="A53" s="12">
        <f t="shared" ref="A53:A57" si="6">A52+10</f>
        <v>440</v>
      </c>
      <c r="B53" s="13"/>
      <c r="C53" s="11">
        <f t="shared" si="3"/>
        <v>5006.251503066901</v>
      </c>
      <c r="D53" s="11"/>
    </row>
    <row r="54" spans="1:4" x14ac:dyDescent="0.2">
      <c r="A54" s="12">
        <f t="shared" si="6"/>
        <v>450</v>
      </c>
      <c r="B54" s="13"/>
      <c r="C54" s="11">
        <f t="shared" si="3"/>
        <v>5275.362037098881</v>
      </c>
      <c r="D54" s="11"/>
    </row>
    <row r="55" spans="1:4" x14ac:dyDescent="0.2">
      <c r="A55" s="12">
        <f t="shared" si="6"/>
        <v>460</v>
      </c>
      <c r="B55" s="13"/>
      <c r="C55" s="11">
        <f t="shared" si="3"/>
        <v>5558.9385801762737</v>
      </c>
      <c r="D55" s="11"/>
    </row>
    <row r="56" spans="1:4" x14ac:dyDescent="0.2">
      <c r="A56" s="12">
        <f t="shared" si="6"/>
        <v>470</v>
      </c>
      <c r="B56" s="13"/>
      <c r="C56" s="11">
        <f t="shared" si="3"/>
        <v>5857.758751125687</v>
      </c>
      <c r="D56" s="11"/>
    </row>
    <row r="57" spans="1:4" x14ac:dyDescent="0.2">
      <c r="A57" s="12">
        <f t="shared" si="6"/>
        <v>480</v>
      </c>
      <c r="B57" s="13"/>
      <c r="C57" s="11">
        <f t="shared" si="3"/>
        <v>6172.6419695936802</v>
      </c>
      <c r="D57" s="11"/>
    </row>
    <row r="58" spans="1:4" x14ac:dyDescent="0.2">
      <c r="A58" s="12">
        <f t="shared" ref="A58:A70" si="7">A57+10</f>
        <v>490</v>
      </c>
      <c r="B58" s="13"/>
      <c r="C58" s="11">
        <f t="shared" ref="C58:C73" si="8">$C$4*EXP($C$2*RADIANS(A58))</f>
        <v>6504.4517030455399</v>
      </c>
      <c r="D58" s="11"/>
    </row>
    <row r="59" spans="1:4" x14ac:dyDescent="0.2">
      <c r="A59" s="12">
        <f t="shared" si="7"/>
        <v>500</v>
      </c>
      <c r="B59" s="13"/>
      <c r="C59" s="11">
        <f t="shared" si="8"/>
        <v>6854.0978345512131</v>
      </c>
      <c r="D59" s="11"/>
    </row>
    <row r="60" spans="1:4" x14ac:dyDescent="0.2">
      <c r="A60" s="12">
        <f t="shared" si="7"/>
        <v>510</v>
      </c>
      <c r="B60" s="13"/>
      <c r="C60" s="11">
        <f t="shared" si="8"/>
        <v>7222.5391578513991</v>
      </c>
      <c r="D60" s="11"/>
    </row>
    <row r="61" spans="1:4" x14ac:dyDescent="0.2">
      <c r="A61" s="12">
        <f t="shared" si="7"/>
        <v>520</v>
      </c>
      <c r="B61" s="13"/>
      <c r="C61" s="11">
        <f t="shared" si="8"/>
        <v>7610.7860065455889</v>
      </c>
      <c r="D61" s="11"/>
    </row>
    <row r="62" spans="1:4" x14ac:dyDescent="0.2">
      <c r="A62" s="12">
        <f t="shared" si="7"/>
        <v>530</v>
      </c>
      <c r="B62" s="13"/>
      <c r="C62" s="11">
        <f t="shared" si="8"/>
        <v>8019.90302461188</v>
      </c>
      <c r="D62" s="11"/>
    </row>
    <row r="63" spans="1:4" x14ac:dyDescent="0.2">
      <c r="A63" s="12">
        <f t="shared" si="7"/>
        <v>540</v>
      </c>
      <c r="B63" s="13"/>
      <c r="C63" s="11">
        <f t="shared" si="8"/>
        <v>8451.012085855773</v>
      </c>
      <c r="D63" s="11"/>
    </row>
    <row r="64" spans="1:4" x14ac:dyDescent="0.2">
      <c r="A64" s="12">
        <f t="shared" si="7"/>
        <v>550</v>
      </c>
      <c r="B64" s="13"/>
      <c r="C64" s="11">
        <f t="shared" si="8"/>
        <v>8905.2953702936629</v>
      </c>
      <c r="D64" s="11"/>
    </row>
    <row r="65" spans="1:7" x14ac:dyDescent="0.2">
      <c r="A65" s="12">
        <f t="shared" si="7"/>
        <v>560</v>
      </c>
      <c r="B65" s="13"/>
      <c r="C65" s="11">
        <f t="shared" si="8"/>
        <v>9383.9986059069979</v>
      </c>
      <c r="D65" s="11"/>
    </row>
    <row r="66" spans="1:7" x14ac:dyDescent="0.2">
      <c r="A66" s="12">
        <f t="shared" si="7"/>
        <v>570</v>
      </c>
      <c r="B66" s="13"/>
      <c r="C66" s="11">
        <f t="shared" si="8"/>
        <v>9888.4344846565837</v>
      </c>
      <c r="D66" s="11"/>
    </row>
    <row r="67" spans="1:7" x14ac:dyDescent="0.2">
      <c r="A67" s="12">
        <f t="shared" si="7"/>
        <v>580</v>
      </c>
      <c r="B67" s="13"/>
      <c r="C67" s="11">
        <f t="shared" si="8"/>
        <v>10419.986262124417</v>
      </c>
      <c r="D67" s="11"/>
    </row>
    <row r="68" spans="1:7" x14ac:dyDescent="0.2">
      <c r="A68" s="12">
        <f t="shared" si="7"/>
        <v>590</v>
      </c>
      <c r="B68" s="13"/>
      <c r="C68" s="11">
        <f t="shared" si="8"/>
        <v>10980.111550653837</v>
      </c>
      <c r="D68" s="11"/>
    </row>
    <row r="69" spans="1:7" x14ac:dyDescent="0.2">
      <c r="A69" s="12">
        <f t="shared" si="7"/>
        <v>600</v>
      </c>
      <c r="B69" s="13"/>
      <c r="C69" s="11">
        <f t="shared" si="8"/>
        <v>11570.346316389634</v>
      </c>
      <c r="D69" s="11"/>
    </row>
    <row r="70" spans="1:7" x14ac:dyDescent="0.2">
      <c r="A70" s="12">
        <f t="shared" si="7"/>
        <v>610</v>
      </c>
      <c r="B70" s="13"/>
      <c r="C70" s="11">
        <f t="shared" si="8"/>
        <v>12192.309091178528</v>
      </c>
      <c r="D70" s="11"/>
    </row>
    <row r="71" spans="1:7" x14ac:dyDescent="0.2">
      <c r="A71" s="12">
        <f t="shared" ref="A71:A75" si="9">A70+10</f>
        <v>620</v>
      </c>
      <c r="B71" s="13"/>
      <c r="C71" s="11">
        <f t="shared" si="8"/>
        <v>12847.705410880008</v>
      </c>
      <c r="D71" s="11"/>
    </row>
    <row r="72" spans="1:7" x14ac:dyDescent="0.2">
      <c r="A72" s="12">
        <f t="shared" si="9"/>
        <v>630</v>
      </c>
      <c r="B72" s="13"/>
      <c r="C72" s="11">
        <f t="shared" si="8"/>
        <v>13538.332492258038</v>
      </c>
      <c r="D72" s="11"/>
    </row>
    <row r="73" spans="1:7" x14ac:dyDescent="0.2">
      <c r="A73" s="12">
        <f t="shared" si="9"/>
        <v>640</v>
      </c>
      <c r="B73" s="13"/>
      <c r="C73" s="11">
        <f t="shared" si="8"/>
        <v>14266.084161278686</v>
      </c>
      <c r="D73" s="11"/>
    </row>
    <row r="74" spans="1:7" x14ac:dyDescent="0.2">
      <c r="A74" s="12">
        <f t="shared" si="9"/>
        <v>650</v>
      </c>
      <c r="B74" s="13"/>
      <c r="C74" s="11">
        <f t="shared" ref="C74:C75" si="10">$C$4*EXP($C$2*RADIANS(A74))</f>
        <v>15032.956046327801</v>
      </c>
      <c r="D74" s="11"/>
    </row>
    <row r="75" spans="1:7" ht="16" customHeight="1" x14ac:dyDescent="0.2">
      <c r="A75" s="12">
        <f t="shared" si="9"/>
        <v>660</v>
      </c>
      <c r="B75" s="13"/>
      <c r="C75" s="11">
        <f t="shared" si="10"/>
        <v>15841.051050589613</v>
      </c>
      <c r="D75" s="11"/>
      <c r="F75" s="9"/>
      <c r="G75" s="9"/>
    </row>
    <row r="76" spans="1:7" x14ac:dyDescent="0.2">
      <c r="A76" s="12">
        <f t="shared" ref="A76:A81" si="11">A75+10</f>
        <v>670</v>
      </c>
      <c r="B76" s="13"/>
      <c r="C76" s="11">
        <f t="shared" ref="C76:C81" si="12">$C$4*EXP($C$2*RADIANS(A76))</f>
        <v>16692.585118592495</v>
      </c>
      <c r="D76" s="11"/>
    </row>
    <row r="77" spans="1:7" x14ac:dyDescent="0.2">
      <c r="A77" s="12">
        <f t="shared" si="11"/>
        <v>680</v>
      </c>
      <c r="B77" s="13"/>
      <c r="C77" s="11">
        <f t="shared" si="12"/>
        <v>17589.893312734708</v>
      </c>
      <c r="D77" s="11"/>
    </row>
    <row r="78" spans="1:7" x14ac:dyDescent="0.2">
      <c r="A78" s="12">
        <f t="shared" si="11"/>
        <v>690</v>
      </c>
      <c r="B78" s="13"/>
      <c r="C78" s="11">
        <f t="shared" si="12"/>
        <v>18535.43621645333</v>
      </c>
      <c r="D78" s="11"/>
    </row>
    <row r="79" spans="1:7" x14ac:dyDescent="0.2">
      <c r="A79" s="12">
        <f t="shared" si="11"/>
        <v>700</v>
      </c>
      <c r="B79" s="13"/>
      <c r="C79" s="11">
        <f t="shared" si="12"/>
        <v>19531.806681594699</v>
      </c>
      <c r="D79" s="11"/>
    </row>
    <row r="80" spans="1:7" x14ac:dyDescent="0.2">
      <c r="A80" s="12">
        <f t="shared" si="11"/>
        <v>710</v>
      </c>
      <c r="B80" s="13"/>
      <c r="C80" s="11">
        <f t="shared" si="12"/>
        <v>20581.736938489164</v>
      </c>
      <c r="D80" s="11"/>
    </row>
    <row r="81" spans="1:6" x14ac:dyDescent="0.2">
      <c r="A81" s="12">
        <f t="shared" si="11"/>
        <v>720</v>
      </c>
      <c r="B81" s="13"/>
      <c r="C81" s="11">
        <f t="shared" si="12"/>
        <v>21688.106088227145</v>
      </c>
      <c r="D81" s="11"/>
    </row>
    <row r="83" spans="1:6" x14ac:dyDescent="0.2">
      <c r="A83" t="s">
        <v>16</v>
      </c>
    </row>
    <row r="85" spans="1:6" x14ac:dyDescent="0.2">
      <c r="A85" s="8" t="s">
        <v>17</v>
      </c>
      <c r="B85" s="8"/>
      <c r="C85" s="8"/>
      <c r="D85" s="8"/>
      <c r="F85" s="1" t="s">
        <v>27</v>
      </c>
    </row>
  </sheetData>
  <mergeCells count="154">
    <mergeCell ref="A67:B67"/>
    <mergeCell ref="A68:B68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F75:G75"/>
    <mergeCell ref="C54:D54"/>
    <mergeCell ref="C55:D55"/>
    <mergeCell ref="C56:D56"/>
    <mergeCell ref="C57:D57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36:D36"/>
    <mergeCell ref="C37:D37"/>
    <mergeCell ref="C38:D38"/>
    <mergeCell ref="C39:D39"/>
    <mergeCell ref="C40:D40"/>
    <mergeCell ref="C41:D41"/>
    <mergeCell ref="C30:D30"/>
    <mergeCell ref="C31:D31"/>
    <mergeCell ref="C32:D32"/>
    <mergeCell ref="C33:D33"/>
    <mergeCell ref="C34:D34"/>
    <mergeCell ref="C35:D35"/>
    <mergeCell ref="C24:D24"/>
    <mergeCell ref="C25:D25"/>
    <mergeCell ref="C26:D26"/>
    <mergeCell ref="C27:D27"/>
    <mergeCell ref="C28:D28"/>
    <mergeCell ref="C29:D29"/>
    <mergeCell ref="C18:D18"/>
    <mergeCell ref="C19:D19"/>
    <mergeCell ref="C20:D20"/>
    <mergeCell ref="C21:D21"/>
    <mergeCell ref="C22:D22"/>
    <mergeCell ref="C23:D23"/>
    <mergeCell ref="A57:B57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C8:D8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8:B8"/>
    <mergeCell ref="A69:B69"/>
    <mergeCell ref="A70:B70"/>
    <mergeCell ref="A71:B71"/>
    <mergeCell ref="A72:B72"/>
    <mergeCell ref="A73:B73"/>
    <mergeCell ref="A74:B74"/>
    <mergeCell ref="A75:B75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6:D76"/>
    <mergeCell ref="C77:D77"/>
    <mergeCell ref="C78:D78"/>
    <mergeCell ref="C79:D79"/>
    <mergeCell ref="C80:D80"/>
    <mergeCell ref="C81:D81"/>
    <mergeCell ref="A85:D85"/>
    <mergeCell ref="C75:D75"/>
    <mergeCell ref="A76:B76"/>
    <mergeCell ref="A77:B77"/>
    <mergeCell ref="A78:B78"/>
    <mergeCell ref="A79:B79"/>
    <mergeCell ref="A80:B80"/>
    <mergeCell ref="A81:B8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CAB4-E41D-FA49-9556-1048C504E3BC}">
  <dimension ref="A1:F36"/>
  <sheetViews>
    <sheetView zoomScaleNormal="100" workbookViewId="0">
      <selection sqref="A1:B1"/>
    </sheetView>
  </sheetViews>
  <sheetFormatPr baseColWidth="10" defaultRowHeight="16" x14ac:dyDescent="0.2"/>
  <sheetData>
    <row r="1" spans="1:6" x14ac:dyDescent="0.2">
      <c r="A1" s="8" t="s">
        <v>0</v>
      </c>
      <c r="B1" s="8"/>
    </row>
    <row r="3" spans="1:6" ht="19" x14ac:dyDescent="0.2">
      <c r="A3" s="2" t="s">
        <v>1</v>
      </c>
      <c r="B3" s="2" t="s">
        <v>2</v>
      </c>
    </row>
    <row r="4" spans="1:6" x14ac:dyDescent="0.2">
      <c r="A4" s="2">
        <v>200</v>
      </c>
      <c r="B4" s="3">
        <v>7.2</v>
      </c>
    </row>
    <row r="5" spans="1:6" x14ac:dyDescent="0.2">
      <c r="A5" s="2">
        <v>250</v>
      </c>
      <c r="B5" s="3">
        <v>8.1</v>
      </c>
    </row>
    <row r="6" spans="1:6" x14ac:dyDescent="0.2">
      <c r="A6" s="2">
        <v>300</v>
      </c>
      <c r="B6" s="3">
        <v>9</v>
      </c>
    </row>
    <row r="7" spans="1:6" x14ac:dyDescent="0.2">
      <c r="A7" s="2">
        <v>375</v>
      </c>
      <c r="B7" s="3">
        <v>10.5</v>
      </c>
    </row>
    <row r="8" spans="1:6" x14ac:dyDescent="0.2">
      <c r="A8" s="2">
        <v>425</v>
      </c>
      <c r="B8" s="3">
        <v>11.5</v>
      </c>
    </row>
    <row r="9" spans="1:6" x14ac:dyDescent="0.2">
      <c r="A9" s="2">
        <v>475</v>
      </c>
      <c r="B9" s="3">
        <v>12.6</v>
      </c>
    </row>
    <row r="10" spans="1:6" x14ac:dyDescent="0.2">
      <c r="A10" s="2">
        <v>600</v>
      </c>
      <c r="B10" s="3">
        <v>15.1</v>
      </c>
    </row>
    <row r="12" spans="1:6" ht="19" x14ac:dyDescent="0.2">
      <c r="A12" s="8" t="s">
        <v>24</v>
      </c>
      <c r="B12" s="8"/>
      <c r="F12" s="5">
        <f>0.194*400^0.6766</f>
        <v>11.177779033322093</v>
      </c>
    </row>
    <row r="14" spans="1:6" x14ac:dyDescent="0.2">
      <c r="A14" s="8" t="s">
        <v>3</v>
      </c>
      <c r="B14" s="8"/>
      <c r="C14" s="8"/>
    </row>
    <row r="16" spans="1:6" x14ac:dyDescent="0.2">
      <c r="A16" s="2" t="s">
        <v>4</v>
      </c>
      <c r="B16" s="14" t="s">
        <v>5</v>
      </c>
      <c r="C16" s="14"/>
    </row>
    <row r="17" spans="1:6" x14ac:dyDescent="0.2">
      <c r="A17" s="2">
        <v>2</v>
      </c>
      <c r="B17" s="14">
        <v>430</v>
      </c>
      <c r="C17" s="14"/>
    </row>
    <row r="18" spans="1:6" x14ac:dyDescent="0.2">
      <c r="A18" s="2">
        <f>A17+2</f>
        <v>4</v>
      </c>
      <c r="B18" s="14">
        <v>190</v>
      </c>
      <c r="C18" s="14"/>
    </row>
    <row r="19" spans="1:6" x14ac:dyDescent="0.2">
      <c r="A19" s="2">
        <f t="shared" ref="A19:A21" si="0">A18+2</f>
        <v>6</v>
      </c>
      <c r="B19" s="14">
        <v>80</v>
      </c>
      <c r="C19" s="14"/>
    </row>
    <row r="20" spans="1:6" x14ac:dyDescent="0.2">
      <c r="A20" s="2">
        <f t="shared" si="0"/>
        <v>8</v>
      </c>
      <c r="B20" s="14">
        <v>35</v>
      </c>
      <c r="C20" s="14"/>
    </row>
    <row r="21" spans="1:6" x14ac:dyDescent="0.2">
      <c r="A21" s="2">
        <f t="shared" si="0"/>
        <v>10</v>
      </c>
      <c r="B21" s="14">
        <v>16</v>
      </c>
      <c r="C21" s="14"/>
    </row>
    <row r="22" spans="1:6" x14ac:dyDescent="0.2">
      <c r="A22" s="2">
        <v>14</v>
      </c>
      <c r="B22" s="14">
        <v>2</v>
      </c>
      <c r="C22" s="14"/>
    </row>
    <row r="24" spans="1:6" x14ac:dyDescent="0.2">
      <c r="A24" s="8" t="s">
        <v>25</v>
      </c>
      <c r="B24" s="8"/>
      <c r="C24" s="8"/>
      <c r="D24" s="8"/>
      <c r="E24" s="8"/>
      <c r="F24" s="5">
        <f>(LN(5/1129.7))/(-0.442)</f>
        <v>12.263053116060595</v>
      </c>
    </row>
    <row r="26" spans="1:6" x14ac:dyDescent="0.2">
      <c r="A26" s="8" t="s">
        <v>6</v>
      </c>
      <c r="B26" s="8"/>
    </row>
    <row r="28" spans="1:6" x14ac:dyDescent="0.2">
      <c r="A28" s="14" t="s">
        <v>7</v>
      </c>
      <c r="B28" s="14"/>
      <c r="C28" s="14" t="s">
        <v>8</v>
      </c>
      <c r="D28" s="14"/>
    </row>
    <row r="29" spans="1:6" x14ac:dyDescent="0.2">
      <c r="A29" s="14">
        <v>5</v>
      </c>
      <c r="B29" s="14"/>
      <c r="C29" s="14">
        <v>40</v>
      </c>
      <c r="D29" s="14"/>
    </row>
    <row r="30" spans="1:6" x14ac:dyDescent="0.2">
      <c r="A30" s="14">
        <f>A29+5</f>
        <v>10</v>
      </c>
      <c r="B30" s="14"/>
      <c r="C30" s="14">
        <v>30</v>
      </c>
      <c r="D30" s="14"/>
    </row>
    <row r="31" spans="1:6" x14ac:dyDescent="0.2">
      <c r="A31" s="14">
        <f t="shared" ref="A31:A32" si="1">A30+5</f>
        <v>15</v>
      </c>
      <c r="B31" s="14"/>
      <c r="C31" s="14">
        <v>25</v>
      </c>
      <c r="D31" s="14"/>
    </row>
    <row r="32" spans="1:6" x14ac:dyDescent="0.2">
      <c r="A32" s="14">
        <f t="shared" si="1"/>
        <v>20</v>
      </c>
      <c r="B32" s="14"/>
      <c r="C32" s="14">
        <v>22</v>
      </c>
      <c r="D32" s="14"/>
    </row>
    <row r="33" spans="1:6" x14ac:dyDescent="0.2">
      <c r="A33" s="14">
        <v>30</v>
      </c>
      <c r="B33" s="14"/>
      <c r="C33" s="14">
        <v>18</v>
      </c>
      <c r="D33" s="14"/>
    </row>
    <row r="34" spans="1:6" x14ac:dyDescent="0.2">
      <c r="A34" s="14">
        <v>40</v>
      </c>
      <c r="B34" s="14"/>
      <c r="C34" s="14">
        <v>15</v>
      </c>
      <c r="D34" s="14"/>
    </row>
    <row r="36" spans="1:6" x14ac:dyDescent="0.2">
      <c r="A36" s="8" t="s">
        <v>26</v>
      </c>
      <c r="B36" s="8"/>
      <c r="C36" s="8"/>
      <c r="D36" s="8"/>
      <c r="F36" s="5">
        <f>86.675*(25^-0.465)</f>
        <v>19.402234367259123</v>
      </c>
    </row>
  </sheetData>
  <mergeCells count="27">
    <mergeCell ref="A36:D36"/>
    <mergeCell ref="A32:B32"/>
    <mergeCell ref="C32:D32"/>
    <mergeCell ref="A33:B33"/>
    <mergeCell ref="C33:D33"/>
    <mergeCell ref="A34:B34"/>
    <mergeCell ref="C34:D34"/>
    <mergeCell ref="A29:B29"/>
    <mergeCell ref="C29:D29"/>
    <mergeCell ref="A30:B30"/>
    <mergeCell ref="C30:D30"/>
    <mergeCell ref="A31:B31"/>
    <mergeCell ref="C31:D31"/>
    <mergeCell ref="B20:C20"/>
    <mergeCell ref="B21:C21"/>
    <mergeCell ref="B22:C22"/>
    <mergeCell ref="A26:B26"/>
    <mergeCell ref="A28:B28"/>
    <mergeCell ref="C28:D28"/>
    <mergeCell ref="A24:E24"/>
    <mergeCell ref="B19:C19"/>
    <mergeCell ref="A12:B12"/>
    <mergeCell ref="A1:B1"/>
    <mergeCell ref="A14:C14"/>
    <mergeCell ref="B16:C16"/>
    <mergeCell ref="B17:C17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Problem 1</vt:lpstr>
      <vt:lpstr>Problem 2</vt:lpstr>
      <vt:lpstr>Problem 3</vt:lpstr>
      <vt:lpstr>Problem 1 Graph</vt:lpstr>
      <vt:lpstr>Problem 2a Graph</vt:lpstr>
      <vt:lpstr>Problem 2b Graph</vt:lpstr>
      <vt:lpstr>Problem 3a Graph</vt:lpstr>
      <vt:lpstr>Problem 3b Graph</vt:lpstr>
      <vt:lpstr>Problem 3c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 Danylenko</dc:creator>
  <cp:lastModifiedBy>Platon Danylenko</cp:lastModifiedBy>
  <dcterms:created xsi:type="dcterms:W3CDTF">2025-10-04T17:13:50Z</dcterms:created>
  <dcterms:modified xsi:type="dcterms:W3CDTF">2025-11-16T22:57:03Z</dcterms:modified>
</cp:coreProperties>
</file>