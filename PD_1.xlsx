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danylenko/Downloads/"/>
    </mc:Choice>
  </mc:AlternateContent>
  <xr:revisionPtr revIDLastSave="0" documentId="13_ncr:1_{F70063D8-1514-ED48-8798-0F5EE2EADD30}" xr6:coauthVersionLast="47" xr6:coauthVersionMax="47" xr10:uidLastSave="{00000000-0000-0000-0000-000000000000}"/>
  <bookViews>
    <workbookView xWindow="6560" yWindow="2500" windowWidth="27640" windowHeight="16940" xr2:uid="{95EEB638-CAAC-F04A-9357-E08055ABE2B4}"/>
  </bookViews>
  <sheets>
    <sheet name="Proble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10" i="1"/>
  <c r="C26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10" i="1"/>
  <c r="A11" i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</calcChain>
</file>

<file path=xl/sharedStrings.xml><?xml version="1.0" encoding="utf-8"?>
<sst xmlns="http://schemas.openxmlformats.org/spreadsheetml/2006/main" count="10" uniqueCount="10">
  <si>
    <t>Resistance, R (Ohms)</t>
  </si>
  <si>
    <t>Battery voltage, V (Volts)</t>
  </si>
  <si>
    <t>Device temperature, T (K)</t>
  </si>
  <si>
    <t>Boltzmann's constant, k (J/K)</t>
  </si>
  <si>
    <t xml:space="preserve">Emmision coefficient, n </t>
  </si>
  <si>
    <t>Electron charge, q (Coulombs)</t>
  </si>
  <si>
    <r>
      <t>Diode current, I</t>
    </r>
    <r>
      <rPr>
        <vertAlign val="subscript"/>
        <sz val="12"/>
        <color theme="1"/>
        <rFont val="Aptos Narrow (Body)"/>
      </rPr>
      <t>D</t>
    </r>
    <r>
      <rPr>
        <sz val="12"/>
        <color theme="1"/>
        <rFont val="Aptos Narrow"/>
        <family val="2"/>
        <scheme val="minor"/>
      </rPr>
      <t xml:space="preserve"> (mA)</t>
    </r>
  </si>
  <si>
    <r>
      <t>Diode voltage, V</t>
    </r>
    <r>
      <rPr>
        <vertAlign val="subscript"/>
        <sz val="12"/>
        <color theme="1"/>
        <rFont val="Aptos Narrow (Body)"/>
      </rPr>
      <t>D</t>
    </r>
    <r>
      <rPr>
        <sz val="12"/>
        <color theme="1"/>
        <rFont val="Aptos Narrow"/>
        <family val="2"/>
        <scheme val="minor"/>
      </rPr>
      <t xml:space="preserve"> (Volts)</t>
    </r>
  </si>
  <si>
    <r>
      <t>Reverse saturation current, I</t>
    </r>
    <r>
      <rPr>
        <vertAlign val="sub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 xml:space="preserve"> (mA)</t>
    </r>
  </si>
  <si>
    <r>
      <t>Resistor current, I</t>
    </r>
    <r>
      <rPr>
        <vertAlign val="subscript"/>
        <sz val="12"/>
        <color theme="1"/>
        <rFont val="Aptos Narrow (Body)"/>
      </rPr>
      <t>R</t>
    </r>
    <r>
      <rPr>
        <sz val="12"/>
        <color theme="1"/>
        <rFont val="Aptos Narrow"/>
        <family val="2"/>
        <scheme val="minor"/>
      </rPr>
      <t xml:space="preserve"> (mA)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</si>
</sst>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1'!$A$10:$A$26</c:f>
              <c:numCache>
                <c:formatCode>0.00</c:formatCode>
                <c:ptCount val="1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</c:numCache>
            </c:numRef>
          </c:xVal>
          <c:yVal>
            <c:numRef>
              <c:f>'Problem 1'!$C$10:$C$26</c:f>
              <c:numCache>
                <c:formatCode>0.00E+00</c:formatCode>
                <c:ptCount val="17"/>
                <c:pt idx="0">
                  <c:v>0</c:v>
                </c:pt>
                <c:pt idx="1">
                  <c:v>6.3575319520312661E-7</c:v>
                </c:pt>
                <c:pt idx="2">
                  <c:v>3.2924170164611772E-6</c:v>
                </c:pt>
                <c:pt idx="3">
                  <c:v>1.4393993402445999E-5</c:v>
                </c:pt>
                <c:pt idx="4">
                  <c:v>6.078488308433794E-5</c:v>
                </c:pt>
                <c:pt idx="5">
                  <c:v>2.5464155448412263E-4</c:v>
                </c:pt>
                <c:pt idx="6">
                  <c:v>1.0647232171531848E-3</c:v>
                </c:pt>
                <c:pt idx="7">
                  <c:v>4.4498649069088349E-3</c:v>
                </c:pt>
                <c:pt idx="8">
                  <c:v>1.8595579824051842E-2</c:v>
                </c:pt>
                <c:pt idx="9">
                  <c:v>7.7707212026225658E-2</c:v>
                </c:pt>
                <c:pt idx="10">
                  <c:v>0.32472088945941913</c:v>
                </c:pt>
                <c:pt idx="11">
                  <c:v>1.3569332403277514</c:v>
                </c:pt>
                <c:pt idx="12">
                  <c:v>5.6703070921594456</c:v>
                </c:pt>
                <c:pt idx="13">
                  <c:v>23.694886986029264</c:v>
                </c:pt>
                <c:pt idx="14">
                  <c:v>99.015388178508033</c:v>
                </c:pt>
                <c:pt idx="15">
                  <c:v>413.76213585808375</c:v>
                </c:pt>
                <c:pt idx="16">
                  <c:v>1729.0151361230742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A7-7048-802F-7A5E67342901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'Problem 1'!$A$10:$A$26</c:f>
              <c:numCache>
                <c:formatCode>0.00</c:formatCode>
                <c:ptCount val="1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</c:numCache>
            </c:numRef>
          </c:xVal>
          <c:yVal>
            <c:numRef>
              <c:f>'Problem 1'!$E$10:$E$26</c:f>
              <c:numCache>
                <c:formatCode>0.00</c:formatCode>
                <c:ptCount val="17"/>
                <c:pt idx="0">
                  <c:v>125</c:v>
                </c:pt>
                <c:pt idx="1">
                  <c:v>122.91666666666667</c:v>
                </c:pt>
                <c:pt idx="2">
                  <c:v>120.83333333333333</c:v>
                </c:pt>
                <c:pt idx="3">
                  <c:v>118.75000000000001</c:v>
                </c:pt>
                <c:pt idx="4">
                  <c:v>116.66666666666666</c:v>
                </c:pt>
                <c:pt idx="5">
                  <c:v>114.58333333333333</c:v>
                </c:pt>
                <c:pt idx="6">
                  <c:v>112.5</c:v>
                </c:pt>
                <c:pt idx="7">
                  <c:v>110.41666666666666</c:v>
                </c:pt>
                <c:pt idx="8">
                  <c:v>108.33333333333334</c:v>
                </c:pt>
                <c:pt idx="9">
                  <c:v>106.25</c:v>
                </c:pt>
                <c:pt idx="10">
                  <c:v>104.16666666666667</c:v>
                </c:pt>
                <c:pt idx="11">
                  <c:v>102.08333333333334</c:v>
                </c:pt>
                <c:pt idx="12">
                  <c:v>99.999999999999986</c:v>
                </c:pt>
                <c:pt idx="13">
                  <c:v>97.916666666666671</c:v>
                </c:pt>
                <c:pt idx="14">
                  <c:v>95.833333333333329</c:v>
                </c:pt>
                <c:pt idx="15">
                  <c:v>93.75</c:v>
                </c:pt>
                <c:pt idx="16">
                  <c:v>91.666666666666657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A7-7048-802F-7A5E67342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61407"/>
        <c:axId val="497559615"/>
      </c:scatterChart>
      <c:valAx>
        <c:axId val="49756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59615"/>
        <c:crosses val="autoZero"/>
        <c:crossBetween val="midCat"/>
      </c:valAx>
      <c:valAx>
        <c:axId val="4975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61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11</xdr:row>
      <xdr:rowOff>165100</xdr:rowOff>
    </xdr:from>
    <xdr:to>
      <xdr:col>13</xdr:col>
      <xdr:colOff>184150</xdr:colOff>
      <xdr:row>25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7C81C9-68F3-B03B-6316-9F9A61EB2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EBBA-145F-D047-A055-CA860565CF5D}">
  <dimension ref="A1:F26"/>
  <sheetViews>
    <sheetView tabSelected="1" zoomScaleNormal="100" workbookViewId="0">
      <selection activeCell="H30" sqref="H30"/>
    </sheetView>
  </sheetViews>
  <sheetFormatPr baseColWidth="10" defaultRowHeight="16" x14ac:dyDescent="0.2"/>
  <sheetData>
    <row r="1" spans="1:6" ht="18" x14ac:dyDescent="0.2">
      <c r="A1" s="2" t="s">
        <v>8</v>
      </c>
      <c r="B1" s="2"/>
      <c r="C1" s="2"/>
      <c r="D1" s="5">
        <v>1.9999999999999999E-7</v>
      </c>
      <c r="E1" s="2"/>
    </row>
    <row r="2" spans="1:6" x14ac:dyDescent="0.2">
      <c r="A2" s="3" t="s">
        <v>5</v>
      </c>
      <c r="B2" s="3"/>
      <c r="C2" s="3"/>
      <c r="D2" s="5">
        <v>1.602E-19</v>
      </c>
      <c r="E2" s="2"/>
    </row>
    <row r="3" spans="1:6" x14ac:dyDescent="0.2">
      <c r="A3" s="3" t="s">
        <v>4</v>
      </c>
      <c r="B3" s="3"/>
      <c r="C3" s="3"/>
      <c r="D3" s="2">
        <v>1.3</v>
      </c>
      <c r="E3" s="2"/>
    </row>
    <row r="4" spans="1:6" x14ac:dyDescent="0.2">
      <c r="A4" s="3" t="s">
        <v>3</v>
      </c>
      <c r="B4" s="3"/>
      <c r="C4" s="3"/>
      <c r="D4" s="5">
        <v>1.3809999999999999E-23</v>
      </c>
      <c r="E4" s="2"/>
    </row>
    <row r="5" spans="1:6" x14ac:dyDescent="0.2">
      <c r="A5" s="3" t="s">
        <v>2</v>
      </c>
      <c r="B5" s="3"/>
      <c r="C5" s="3"/>
      <c r="D5" s="2">
        <v>312</v>
      </c>
      <c r="E5" s="2"/>
    </row>
    <row r="6" spans="1:6" x14ac:dyDescent="0.2">
      <c r="A6" s="3" t="s">
        <v>1</v>
      </c>
      <c r="B6" s="3"/>
      <c r="C6" s="3"/>
      <c r="D6" s="2">
        <v>3</v>
      </c>
      <c r="E6" s="2"/>
    </row>
    <row r="7" spans="1:6" x14ac:dyDescent="0.2">
      <c r="A7" s="3" t="s">
        <v>0</v>
      </c>
      <c r="B7" s="3"/>
      <c r="C7" s="3"/>
      <c r="D7" s="2">
        <v>24</v>
      </c>
      <c r="E7" s="2"/>
    </row>
    <row r="9" spans="1:6" ht="18" x14ac:dyDescent="0.2">
      <c r="A9" s="1" t="s">
        <v>7</v>
      </c>
      <c r="B9" s="1"/>
      <c r="C9" s="1" t="s">
        <v>6</v>
      </c>
      <c r="D9" s="1"/>
      <c r="E9" s="1" t="s">
        <v>9</v>
      </c>
      <c r="F9" s="1"/>
    </row>
    <row r="10" spans="1:6" x14ac:dyDescent="0.2">
      <c r="A10" s="4">
        <v>0</v>
      </c>
      <c r="B10" s="4"/>
      <c r="C10" s="6">
        <f>$D$1*(EXP(($D$2*A10)/($D$3*$D$4*$D$5))-1)</f>
        <v>0</v>
      </c>
      <c r="D10" s="6"/>
      <c r="E10" s="4">
        <f>(($D$6-A10)/$D$7)*1000</f>
        <v>125</v>
      </c>
      <c r="F10" s="4"/>
    </row>
    <row r="11" spans="1:6" x14ac:dyDescent="0.2">
      <c r="A11" s="4">
        <f>A10+0.05</f>
        <v>0.05</v>
      </c>
      <c r="B11" s="4"/>
      <c r="C11" s="6">
        <f t="shared" ref="C11:C25" si="0">$D$1*(EXP(($D$2*A11)/($D$3*$D$4*$D$5))-1)</f>
        <v>6.3575319520312661E-7</v>
      </c>
      <c r="D11" s="6"/>
      <c r="E11" s="4">
        <f t="shared" ref="E11:E26" si="1">(($D$6-A11)/$D$7)*1000</f>
        <v>122.91666666666667</v>
      </c>
      <c r="F11" s="4"/>
    </row>
    <row r="12" spans="1:6" x14ac:dyDescent="0.2">
      <c r="A12" s="4">
        <f t="shared" ref="A12:A26" si="2">A11+0.05</f>
        <v>0.1</v>
      </c>
      <c r="B12" s="4"/>
      <c r="C12" s="6">
        <f t="shared" si="0"/>
        <v>3.2924170164611772E-6</v>
      </c>
      <c r="D12" s="6"/>
      <c r="E12" s="4">
        <f t="shared" si="1"/>
        <v>120.83333333333333</v>
      </c>
      <c r="F12" s="4"/>
    </row>
    <row r="13" spans="1:6" x14ac:dyDescent="0.2">
      <c r="A13" s="4">
        <f t="shared" si="2"/>
        <v>0.15000000000000002</v>
      </c>
      <c r="B13" s="4"/>
      <c r="C13" s="6">
        <f t="shared" si="0"/>
        <v>1.4393993402445999E-5</v>
      </c>
      <c r="D13" s="6"/>
      <c r="E13" s="4">
        <f t="shared" si="1"/>
        <v>118.75000000000001</v>
      </c>
      <c r="F13" s="4"/>
    </row>
    <row r="14" spans="1:6" x14ac:dyDescent="0.2">
      <c r="A14" s="4">
        <f t="shared" si="2"/>
        <v>0.2</v>
      </c>
      <c r="B14" s="4"/>
      <c r="C14" s="6">
        <f t="shared" si="0"/>
        <v>6.078488308433794E-5</v>
      </c>
      <c r="D14" s="6"/>
      <c r="E14" s="4">
        <f t="shared" si="1"/>
        <v>116.66666666666666</v>
      </c>
      <c r="F14" s="4"/>
    </row>
    <row r="15" spans="1:6" x14ac:dyDescent="0.2">
      <c r="A15" s="4">
        <f t="shared" si="2"/>
        <v>0.25</v>
      </c>
      <c r="B15" s="4"/>
      <c r="C15" s="6">
        <f t="shared" si="0"/>
        <v>2.5464155448412263E-4</v>
      </c>
      <c r="D15" s="6"/>
      <c r="E15" s="4">
        <f t="shared" si="1"/>
        <v>114.58333333333333</v>
      </c>
      <c r="F15" s="4"/>
    </row>
    <row r="16" spans="1:6" x14ac:dyDescent="0.2">
      <c r="A16" s="4">
        <f t="shared" si="2"/>
        <v>0.3</v>
      </c>
      <c r="B16" s="4"/>
      <c r="C16" s="6">
        <f t="shared" si="0"/>
        <v>1.0647232171531848E-3</v>
      </c>
      <c r="D16" s="6"/>
      <c r="E16" s="4">
        <f t="shared" si="1"/>
        <v>112.5</v>
      </c>
      <c r="F16" s="4"/>
    </row>
    <row r="17" spans="1:6" x14ac:dyDescent="0.2">
      <c r="A17" s="4">
        <f t="shared" si="2"/>
        <v>0.35</v>
      </c>
      <c r="B17" s="4"/>
      <c r="C17" s="6">
        <f t="shared" si="0"/>
        <v>4.4498649069088349E-3</v>
      </c>
      <c r="D17" s="6"/>
      <c r="E17" s="4">
        <f t="shared" si="1"/>
        <v>110.41666666666666</v>
      </c>
      <c r="F17" s="4"/>
    </row>
    <row r="18" spans="1:6" x14ac:dyDescent="0.2">
      <c r="A18" s="4">
        <f t="shared" si="2"/>
        <v>0.39999999999999997</v>
      </c>
      <c r="B18" s="4"/>
      <c r="C18" s="6">
        <f t="shared" si="0"/>
        <v>1.8595579824051842E-2</v>
      </c>
      <c r="D18" s="6"/>
      <c r="E18" s="4">
        <f t="shared" si="1"/>
        <v>108.33333333333334</v>
      </c>
      <c r="F18" s="4"/>
    </row>
    <row r="19" spans="1:6" x14ac:dyDescent="0.2">
      <c r="A19" s="4">
        <f t="shared" si="2"/>
        <v>0.44999999999999996</v>
      </c>
      <c r="B19" s="4"/>
      <c r="C19" s="6">
        <f t="shared" si="0"/>
        <v>7.7707212026225658E-2</v>
      </c>
      <c r="D19" s="6"/>
      <c r="E19" s="4">
        <f t="shared" si="1"/>
        <v>106.25</v>
      </c>
      <c r="F19" s="4"/>
    </row>
    <row r="20" spans="1:6" x14ac:dyDescent="0.2">
      <c r="A20" s="4">
        <f t="shared" si="2"/>
        <v>0.49999999999999994</v>
      </c>
      <c r="B20" s="4"/>
      <c r="C20" s="6">
        <f t="shared" si="0"/>
        <v>0.32472088945941913</v>
      </c>
      <c r="D20" s="6"/>
      <c r="E20" s="4">
        <f t="shared" si="1"/>
        <v>104.16666666666667</v>
      </c>
      <c r="F20" s="4"/>
    </row>
    <row r="21" spans="1:6" x14ac:dyDescent="0.2">
      <c r="A21" s="4">
        <f t="shared" si="2"/>
        <v>0.54999999999999993</v>
      </c>
      <c r="B21" s="4"/>
      <c r="C21" s="6">
        <f t="shared" si="0"/>
        <v>1.3569332403277514</v>
      </c>
      <c r="D21" s="6"/>
      <c r="E21" s="4">
        <f t="shared" si="1"/>
        <v>102.08333333333334</v>
      </c>
      <c r="F21" s="4"/>
    </row>
    <row r="22" spans="1:6" x14ac:dyDescent="0.2">
      <c r="A22" s="4">
        <f t="shared" si="2"/>
        <v>0.6</v>
      </c>
      <c r="B22" s="4"/>
      <c r="C22" s="6">
        <f t="shared" si="0"/>
        <v>5.6703070921594456</v>
      </c>
      <c r="D22" s="6"/>
      <c r="E22" s="4">
        <f t="shared" si="1"/>
        <v>99.999999999999986</v>
      </c>
      <c r="F22" s="4"/>
    </row>
    <row r="23" spans="1:6" x14ac:dyDescent="0.2">
      <c r="A23" s="4">
        <f t="shared" si="2"/>
        <v>0.65</v>
      </c>
      <c r="B23" s="4"/>
      <c r="C23" s="6">
        <f t="shared" si="0"/>
        <v>23.694886986029264</v>
      </c>
      <c r="D23" s="6"/>
      <c r="E23" s="4">
        <f t="shared" si="1"/>
        <v>97.916666666666671</v>
      </c>
      <c r="F23" s="4"/>
    </row>
    <row r="24" spans="1:6" x14ac:dyDescent="0.2">
      <c r="A24" s="4">
        <f t="shared" si="2"/>
        <v>0.70000000000000007</v>
      </c>
      <c r="B24" s="4"/>
      <c r="C24" s="6">
        <f t="shared" si="0"/>
        <v>99.015388178508033</v>
      </c>
      <c r="D24" s="6"/>
      <c r="E24" s="4">
        <f t="shared" si="1"/>
        <v>95.833333333333329</v>
      </c>
      <c r="F24" s="4"/>
    </row>
    <row r="25" spans="1:6" x14ac:dyDescent="0.2">
      <c r="A25" s="4">
        <f t="shared" si="2"/>
        <v>0.75000000000000011</v>
      </c>
      <c r="B25" s="4"/>
      <c r="C25" s="6">
        <f t="shared" si="0"/>
        <v>413.76213585808375</v>
      </c>
      <c r="D25" s="6"/>
      <c r="E25" s="4">
        <f t="shared" si="1"/>
        <v>93.75</v>
      </c>
      <c r="F25" s="4"/>
    </row>
    <row r="26" spans="1:6" x14ac:dyDescent="0.2">
      <c r="A26" s="4">
        <f t="shared" si="2"/>
        <v>0.80000000000000016</v>
      </c>
      <c r="B26" s="4"/>
      <c r="C26" s="6">
        <f>$D$1*(EXP(($D$2*A26)/($D$3*$D$4*$D$5))-1)</f>
        <v>1729.0151361230742</v>
      </c>
      <c r="D26" s="6"/>
      <c r="E26" s="4">
        <f t="shared" si="1"/>
        <v>91.666666666666657</v>
      </c>
      <c r="F26" s="4"/>
    </row>
  </sheetData>
  <mergeCells count="68">
    <mergeCell ref="A6:C6"/>
    <mergeCell ref="A7:C7"/>
    <mergeCell ref="D1:E1"/>
    <mergeCell ref="D2:E2"/>
    <mergeCell ref="D3:E3"/>
    <mergeCell ref="D4:E4"/>
    <mergeCell ref="D5:E5"/>
    <mergeCell ref="D6:E6"/>
    <mergeCell ref="D7:E7"/>
    <mergeCell ref="A1:C1"/>
    <mergeCell ref="A2:C2"/>
    <mergeCell ref="A3:C3"/>
    <mergeCell ref="A4:C4"/>
    <mergeCell ref="A5:C5"/>
    <mergeCell ref="A13:B13"/>
    <mergeCell ref="A14:B14"/>
    <mergeCell ref="A15:B15"/>
    <mergeCell ref="A16:B16"/>
    <mergeCell ref="A9:B9"/>
    <mergeCell ref="C9:D9"/>
    <mergeCell ref="A10:B10"/>
    <mergeCell ref="A11:B11"/>
    <mergeCell ref="A12:B12"/>
    <mergeCell ref="A23:B23"/>
    <mergeCell ref="A24:B24"/>
    <mergeCell ref="A25:B25"/>
    <mergeCell ref="A26:B26"/>
    <mergeCell ref="C10:D10"/>
    <mergeCell ref="C11:D11"/>
    <mergeCell ref="C12:D12"/>
    <mergeCell ref="C13:D13"/>
    <mergeCell ref="C14:D14"/>
    <mergeCell ref="C15:D15"/>
    <mergeCell ref="A17:B17"/>
    <mergeCell ref="A18:B18"/>
    <mergeCell ref="A19:B19"/>
    <mergeCell ref="A20:B20"/>
    <mergeCell ref="A21:B21"/>
    <mergeCell ref="A22:B22"/>
    <mergeCell ref="C26:D26"/>
    <mergeCell ref="E9:F9"/>
    <mergeCell ref="E10:F10"/>
    <mergeCell ref="E11:F11"/>
    <mergeCell ref="E12:F12"/>
    <mergeCell ref="E13:F13"/>
    <mergeCell ref="C16:D16"/>
    <mergeCell ref="C17:D17"/>
    <mergeCell ref="C18:D18"/>
    <mergeCell ref="C19:D19"/>
    <mergeCell ref="C20:D20"/>
    <mergeCell ref="C21:D21"/>
    <mergeCell ref="E19:F19"/>
    <mergeCell ref="C22:D22"/>
    <mergeCell ref="C23:D23"/>
    <mergeCell ref="C24:D24"/>
    <mergeCell ref="C25:D25"/>
    <mergeCell ref="E14:F14"/>
    <mergeCell ref="E15:F15"/>
    <mergeCell ref="E16:F16"/>
    <mergeCell ref="E17:F17"/>
    <mergeCell ref="E18:F18"/>
    <mergeCell ref="E26:F26"/>
    <mergeCell ref="E20:F20"/>
    <mergeCell ref="E21:F21"/>
    <mergeCell ref="E22:F22"/>
    <mergeCell ref="E23:F23"/>
    <mergeCell ref="E24:F24"/>
    <mergeCell ref="E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 Danylenko</dc:creator>
  <cp:lastModifiedBy>Platon Danylenko</cp:lastModifiedBy>
  <dcterms:created xsi:type="dcterms:W3CDTF">2025-12-12T20:29:00Z</dcterms:created>
  <dcterms:modified xsi:type="dcterms:W3CDTF">2025-12-16T14:43:37Z</dcterms:modified>
</cp:coreProperties>
</file>