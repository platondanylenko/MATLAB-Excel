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8_{BB4118C5-E66B-C84E-9E0C-91CED16BAA5E}" xr6:coauthVersionLast="47" xr6:coauthVersionMax="47" xr10:uidLastSave="{00000000-0000-0000-0000-000000000000}"/>
  <bookViews>
    <workbookView xWindow="0" yWindow="680" windowWidth="34200" windowHeight="21460" activeTab="1" xr2:uid="{3C35E11D-6CA6-4D45-B36A-C18E27BD56DA}"/>
  </bookViews>
  <sheets>
    <sheet name="Problem 1b" sheetId="1" r:id="rId1"/>
    <sheet name="Problem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0" i="2"/>
  <c r="B6" i="2"/>
  <c r="D5" i="1" l="1"/>
  <c r="C5" i="1"/>
  <c r="E5" i="1" s="1"/>
  <c r="B6" i="1" s="1"/>
  <c r="D6" i="1" l="1"/>
  <c r="C6" i="1"/>
  <c r="E6" i="1" l="1"/>
  <c r="B7" i="1" s="1"/>
  <c r="D7" i="1" s="1"/>
  <c r="C7" i="1" l="1"/>
  <c r="E7" i="1" s="1"/>
  <c r="B8" i="1" s="1"/>
  <c r="D8" i="1" s="1"/>
  <c r="C8" i="1" l="1"/>
  <c r="E8" i="1" s="1"/>
  <c r="B9" i="1" s="1"/>
  <c r="D9" i="1" s="1"/>
  <c r="C9" i="1" l="1"/>
  <c r="E9" i="1" s="1"/>
  <c r="B10" i="1" s="1"/>
  <c r="D10" i="1" s="1"/>
  <c r="C10" i="1"/>
  <c r="E10" i="1" s="1"/>
  <c r="B11" i="1" s="1"/>
  <c r="D11" i="1" s="1"/>
  <c r="C11" i="1" l="1"/>
  <c r="E11" i="1" s="1"/>
  <c r="B12" i="1" s="1"/>
  <c r="D12" i="1" s="1"/>
  <c r="C12" i="1" l="1"/>
  <c r="E12" i="1" s="1"/>
  <c r="B13" i="1" s="1"/>
  <c r="C13" i="1" s="1"/>
  <c r="D13" i="1" l="1"/>
  <c r="E13" i="1" s="1"/>
  <c r="B14" i="1" s="1"/>
  <c r="D14" i="1" s="1"/>
  <c r="C14" i="1" l="1"/>
  <c r="E14" i="1" s="1"/>
  <c r="B15" i="1" s="1"/>
  <c r="D15" i="1" s="1"/>
  <c r="C15" i="1" l="1"/>
  <c r="E15" i="1" s="1"/>
</calcChain>
</file>

<file path=xl/sharedStrings.xml><?xml version="1.0" encoding="utf-8"?>
<sst xmlns="http://schemas.openxmlformats.org/spreadsheetml/2006/main" count="29" uniqueCount="25">
  <si>
    <r>
      <t>y = 12000x</t>
    </r>
    <r>
      <rPr>
        <vertAlign val="superscript"/>
        <sz val="12"/>
        <color theme="1"/>
        <rFont val="Aptos Narrow (Body)"/>
      </rPr>
      <t xml:space="preserve">3 </t>
    </r>
    <r>
      <rPr>
        <sz val="12"/>
        <color theme="1"/>
        <rFont val="Aptos Narrow"/>
        <family val="2"/>
        <scheme val="minor"/>
      </rPr>
      <t>- 85800x</t>
    </r>
    <r>
      <rPr>
        <vertAlign val="superscript"/>
        <sz val="12"/>
        <color theme="1"/>
        <rFont val="Aptos Narrow (Body)"/>
      </rPr>
      <t xml:space="preserve">2 </t>
    </r>
    <r>
      <rPr>
        <sz val="12"/>
        <color theme="1"/>
        <rFont val="Aptos Narrow"/>
        <family val="2"/>
        <scheme val="minor"/>
      </rPr>
      <t>- 300000</t>
    </r>
  </si>
  <si>
    <r>
      <t>x</t>
    </r>
    <r>
      <rPr>
        <vertAlign val="subscript"/>
        <sz val="12"/>
        <color theme="1"/>
        <rFont val="Aptos Narrow (Body)"/>
      </rPr>
      <t>0</t>
    </r>
  </si>
  <si>
    <r>
      <t>x</t>
    </r>
    <r>
      <rPr>
        <vertAlign val="subscript"/>
        <sz val="12"/>
        <color theme="1"/>
        <rFont val="Aptos Narrow (Body)"/>
      </rPr>
      <t>1</t>
    </r>
  </si>
  <si>
    <r>
      <t>x</t>
    </r>
    <r>
      <rPr>
        <vertAlign val="subscript"/>
        <sz val="12"/>
        <color theme="1"/>
        <rFont val="Aptos Narrow (Body)"/>
      </rPr>
      <t>2</t>
    </r>
  </si>
  <si>
    <r>
      <t>x</t>
    </r>
    <r>
      <rPr>
        <vertAlign val="subscript"/>
        <sz val="12"/>
        <color theme="1"/>
        <rFont val="Aptos Narrow (Body)"/>
      </rPr>
      <t>3</t>
    </r>
  </si>
  <si>
    <r>
      <t>x</t>
    </r>
    <r>
      <rPr>
        <vertAlign val="subscript"/>
        <sz val="12"/>
        <color theme="1"/>
        <rFont val="Aptos Narrow (Body)"/>
      </rPr>
      <t>4</t>
    </r>
  </si>
  <si>
    <r>
      <t>x</t>
    </r>
    <r>
      <rPr>
        <vertAlign val="subscript"/>
        <sz val="12"/>
        <color theme="1"/>
        <rFont val="Aptos Narrow (Body)"/>
      </rPr>
      <t>5</t>
    </r>
  </si>
  <si>
    <r>
      <t>x</t>
    </r>
    <r>
      <rPr>
        <vertAlign val="subscript"/>
        <sz val="12"/>
        <color theme="1"/>
        <rFont val="Aptos Narrow (Body)"/>
      </rPr>
      <t>6</t>
    </r>
  </si>
  <si>
    <r>
      <t>x</t>
    </r>
    <r>
      <rPr>
        <vertAlign val="subscript"/>
        <sz val="12"/>
        <color theme="1"/>
        <rFont val="Aptos Narrow (Body)"/>
      </rPr>
      <t>7</t>
    </r>
  </si>
  <si>
    <r>
      <t>x</t>
    </r>
    <r>
      <rPr>
        <vertAlign val="subscript"/>
        <sz val="12"/>
        <color theme="1"/>
        <rFont val="Aptos Narrow (Body)"/>
      </rPr>
      <t>8</t>
    </r>
  </si>
  <si>
    <r>
      <t>x</t>
    </r>
    <r>
      <rPr>
        <vertAlign val="subscript"/>
        <sz val="12"/>
        <color theme="1"/>
        <rFont val="Aptos Narrow (Body)"/>
      </rPr>
      <t>9</t>
    </r>
  </si>
  <si>
    <r>
      <t>x</t>
    </r>
    <r>
      <rPr>
        <vertAlign val="subscript"/>
        <sz val="12"/>
        <color theme="1"/>
        <rFont val="Aptos Narrow (Body)"/>
      </rPr>
      <t>10</t>
    </r>
  </si>
  <si>
    <r>
      <t>x</t>
    </r>
    <r>
      <rPr>
        <vertAlign val="subscript"/>
        <sz val="12"/>
        <color theme="1"/>
        <rFont val="Aptos Narrow (Body)"/>
      </rPr>
      <t>i</t>
    </r>
  </si>
  <si>
    <r>
      <t>y</t>
    </r>
    <r>
      <rPr>
        <vertAlign val="subscript"/>
        <sz val="12"/>
        <color theme="1"/>
        <rFont val="Aptos Narrow (Body)"/>
      </rPr>
      <t>i</t>
    </r>
  </si>
  <si>
    <r>
      <t>y</t>
    </r>
    <r>
      <rPr>
        <vertAlign val="subscript"/>
        <sz val="12"/>
        <color theme="1"/>
        <rFont val="Aptos Narrow (Body)"/>
      </rPr>
      <t>i</t>
    </r>
    <r>
      <rPr>
        <sz val="12"/>
        <color theme="1"/>
        <rFont val="Aptos Narrow"/>
        <family val="2"/>
        <scheme val="minor"/>
      </rPr>
      <t>'</t>
    </r>
  </si>
  <si>
    <r>
      <t>x</t>
    </r>
    <r>
      <rPr>
        <vertAlign val="subscript"/>
        <sz val="12"/>
        <color theme="1"/>
        <rFont val="Aptos Narrow (Body)"/>
      </rPr>
      <t>i+1</t>
    </r>
  </si>
  <si>
    <r>
      <t>y' = 36000x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- 171600x</t>
    </r>
  </si>
  <si>
    <r>
      <t>Initial temperature, T</t>
    </r>
    <r>
      <rPr>
        <vertAlign val="subscript"/>
        <sz val="12"/>
        <color theme="1"/>
        <rFont val="Aptos Narrow (Body)"/>
      </rPr>
      <t>i</t>
    </r>
    <r>
      <rPr>
        <sz val="12"/>
        <color theme="1"/>
        <rFont val="Aptos Narrow"/>
        <family val="2"/>
        <scheme val="minor"/>
      </rPr>
      <t xml:space="preserve"> (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</si>
  <si>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r>
      <t>Oil temperature, T</t>
    </r>
    <r>
      <rPr>
        <vertAlign val="subscript"/>
        <sz val="12"/>
        <color theme="1"/>
        <rFont val="Aptos Narrow (Body)"/>
      </rPr>
      <t>∞</t>
    </r>
    <r>
      <rPr>
        <sz val="12"/>
        <color theme="1"/>
        <rFont val="Aptos Narrow"/>
        <family val="2"/>
        <scheme val="minor"/>
      </rPr>
      <t xml:space="preserve"> (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</si>
  <si>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t>Time constant, τ (seconds)</t>
  </si>
  <si>
    <r>
      <t xml:space="preserve">a) 600 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</t>
    </r>
  </si>
  <si>
    <t>y</t>
  </si>
  <si>
    <t>x</t>
  </si>
  <si>
    <r>
      <t xml:space="preserve">b) 300 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</t>
    </r>
  </si>
  <si>
    <r>
      <t xml:space="preserve">c) 50 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</si>
</sst>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  <font>
      <vertAlign val="sub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5E9F-39C1-4C48-AEC3-38233B5770F3}">
  <dimension ref="A1:E15"/>
  <sheetViews>
    <sheetView zoomScaleNormal="100" workbookViewId="0">
      <selection sqref="A1:C1"/>
    </sheetView>
  </sheetViews>
  <sheetFormatPr baseColWidth="10" defaultRowHeight="16" x14ac:dyDescent="0.2"/>
  <cols>
    <col min="4" max="4" width="12.33203125" bestFit="1" customWidth="1"/>
    <col min="5" max="5" width="11.33203125" bestFit="1" customWidth="1"/>
  </cols>
  <sheetData>
    <row r="1" spans="1:5" ht="19" x14ac:dyDescent="0.2">
      <c r="A1" s="5" t="s">
        <v>0</v>
      </c>
      <c r="B1" s="5"/>
      <c r="C1" s="5"/>
    </row>
    <row r="2" spans="1:5" ht="19" x14ac:dyDescent="0.2">
      <c r="A2" s="5" t="s">
        <v>16</v>
      </c>
      <c r="B2" s="5"/>
      <c r="C2" s="5"/>
    </row>
    <row r="3" spans="1:5" x14ac:dyDescent="0.2">
      <c r="A3" s="1"/>
      <c r="B3" s="1"/>
      <c r="C3" s="1"/>
    </row>
    <row r="4" spans="1:5" ht="18" x14ac:dyDescent="0.2">
      <c r="B4" s="2" t="s">
        <v>12</v>
      </c>
      <c r="C4" s="2" t="s">
        <v>13</v>
      </c>
      <c r="D4" s="2" t="s">
        <v>14</v>
      </c>
      <c r="E4" s="2" t="s">
        <v>15</v>
      </c>
    </row>
    <row r="5" spans="1:5" ht="18" x14ac:dyDescent="0.2">
      <c r="A5" s="2" t="s">
        <v>1</v>
      </c>
      <c r="B5" s="2">
        <v>1</v>
      </c>
      <c r="C5" s="4">
        <f>12000*B5^3-85800*B5^2-300000</f>
        <v>-373800</v>
      </c>
      <c r="D5" s="4">
        <f>36000*B5^2-171600*B5</f>
        <v>-135600</v>
      </c>
      <c r="E5" s="3">
        <f>B5-(C5/D5)</f>
        <v>-1.7566371681415931</v>
      </c>
    </row>
    <row r="6" spans="1:5" ht="18" x14ac:dyDescent="0.2">
      <c r="A6" s="2" t="s">
        <v>2</v>
      </c>
      <c r="B6" s="3">
        <f>E5</f>
        <v>-1.7566371681415931</v>
      </c>
      <c r="C6" s="4">
        <f>12000*B6^3-85800*B6^2-300000</f>
        <v>-629806.44782683731</v>
      </c>
      <c r="D6" s="4">
        <f>36000*B6^2-171600*B6</f>
        <v>412526.80711097195</v>
      </c>
      <c r="E6" s="3">
        <f>B6-(C6/D6)</f>
        <v>-0.22993287409212559</v>
      </c>
    </row>
    <row r="7" spans="1:5" ht="18" x14ac:dyDescent="0.2">
      <c r="A7" s="2" t="s">
        <v>3</v>
      </c>
      <c r="B7" s="3">
        <f t="shared" ref="B7:B15" si="0">E6</f>
        <v>-0.22993287409212559</v>
      </c>
      <c r="C7" s="4">
        <f t="shared" ref="C7:C15" si="1">12000*B7^3-85800*B7^2-300000</f>
        <v>-304682.04726399935</v>
      </c>
      <c r="D7" s="4">
        <f t="shared" ref="D7:D15" si="2">36000*B7^2-171600*B7</f>
        <v>41359.769751386302</v>
      </c>
      <c r="E7" s="3">
        <f t="shared" ref="E7:E15" si="3">B7-(C7/D7)</f>
        <v>7.1366953517283767</v>
      </c>
    </row>
    <row r="8" spans="1:5" ht="18" x14ac:dyDescent="0.2">
      <c r="A8" s="2" t="s">
        <v>4</v>
      </c>
      <c r="B8" s="3">
        <f t="shared" si="0"/>
        <v>7.1366953517283767</v>
      </c>
      <c r="C8" s="4">
        <f t="shared" si="1"/>
        <v>-308131.65529142413</v>
      </c>
      <c r="D8" s="4">
        <f t="shared" si="2"/>
        <v>608910.21720514167</v>
      </c>
      <c r="E8" s="3">
        <f t="shared" si="3"/>
        <v>7.6427332643548525</v>
      </c>
    </row>
    <row r="9" spans="1:5" ht="18" x14ac:dyDescent="0.2">
      <c r="A9" s="2" t="s">
        <v>5</v>
      </c>
      <c r="B9" s="3">
        <f t="shared" si="0"/>
        <v>7.6427332643548525</v>
      </c>
      <c r="C9" s="4">
        <f t="shared" si="1"/>
        <v>45374.710534317419</v>
      </c>
      <c r="D9" s="4">
        <f t="shared" si="2"/>
        <v>791316.35483944952</v>
      </c>
      <c r="E9" s="3">
        <f t="shared" si="3"/>
        <v>7.5853924672680497</v>
      </c>
    </row>
    <row r="10" spans="1:5" ht="18" x14ac:dyDescent="0.2">
      <c r="A10" s="2" t="s">
        <v>6</v>
      </c>
      <c r="B10" s="3">
        <f t="shared" si="0"/>
        <v>7.5853924672680497</v>
      </c>
      <c r="C10" s="4">
        <f t="shared" si="1"/>
        <v>620.27598907612264</v>
      </c>
      <c r="D10" s="4">
        <f t="shared" si="2"/>
        <v>769721.09238632978</v>
      </c>
      <c r="E10" s="3">
        <f t="shared" si="3"/>
        <v>7.5845866221441316</v>
      </c>
    </row>
    <row r="11" spans="1:5" ht="18" x14ac:dyDescent="0.2">
      <c r="A11" s="2" t="s">
        <v>7</v>
      </c>
      <c r="B11" s="3">
        <f t="shared" si="0"/>
        <v>7.5845866221441316</v>
      </c>
      <c r="C11" s="4">
        <f t="shared" si="1"/>
        <v>0.12160698510706425</v>
      </c>
      <c r="D11" s="4">
        <f t="shared" si="2"/>
        <v>769419.28787714522</v>
      </c>
      <c r="E11" s="3">
        <f t="shared" si="3"/>
        <v>7.5845864640937855</v>
      </c>
    </row>
    <row r="12" spans="1:5" ht="18" x14ac:dyDescent="0.2">
      <c r="A12" s="2" t="s">
        <v>8</v>
      </c>
      <c r="B12" s="3">
        <f t="shared" si="0"/>
        <v>7.5845864640937855</v>
      </c>
      <c r="C12" s="4">
        <f t="shared" si="1"/>
        <v>5.5879354476928711E-9</v>
      </c>
      <c r="D12" s="4">
        <f t="shared" si="2"/>
        <v>769419.2286888347</v>
      </c>
      <c r="E12" s="3">
        <f t="shared" si="3"/>
        <v>7.5845864640937783</v>
      </c>
    </row>
    <row r="13" spans="1:5" ht="18" x14ac:dyDescent="0.2">
      <c r="A13" s="2" t="s">
        <v>9</v>
      </c>
      <c r="B13" s="3">
        <f t="shared" si="0"/>
        <v>7.5845864640937783</v>
      </c>
      <c r="C13" s="4">
        <f t="shared" si="1"/>
        <v>0</v>
      </c>
      <c r="D13" s="4">
        <f t="shared" si="2"/>
        <v>769419.22868883191</v>
      </c>
      <c r="E13" s="3">
        <f t="shared" si="3"/>
        <v>7.5845864640937783</v>
      </c>
    </row>
    <row r="14" spans="1:5" ht="18" x14ac:dyDescent="0.2">
      <c r="A14" s="2" t="s">
        <v>10</v>
      </c>
      <c r="B14" s="3">
        <f t="shared" si="0"/>
        <v>7.5845864640937783</v>
      </c>
      <c r="C14" s="4">
        <f t="shared" si="1"/>
        <v>0</v>
      </c>
      <c r="D14" s="4">
        <f t="shared" si="2"/>
        <v>769419.22868883191</v>
      </c>
      <c r="E14" s="3">
        <f t="shared" si="3"/>
        <v>7.5845864640937783</v>
      </c>
    </row>
    <row r="15" spans="1:5" ht="18" x14ac:dyDescent="0.2">
      <c r="A15" s="2" t="s">
        <v>11</v>
      </c>
      <c r="B15" s="3">
        <f t="shared" si="0"/>
        <v>7.5845864640937783</v>
      </c>
      <c r="C15" s="4">
        <f t="shared" si="1"/>
        <v>0</v>
      </c>
      <c r="D15" s="4">
        <f t="shared" si="2"/>
        <v>769419.22868883191</v>
      </c>
      <c r="E15" s="3">
        <f t="shared" si="3"/>
        <v>7.5845864640937783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EF7F-C350-954F-981B-A7D3AC4EF626}">
  <dimension ref="A1:C15"/>
  <sheetViews>
    <sheetView tabSelected="1" zoomScaleNormal="100" workbookViewId="0">
      <selection sqref="A1:B1"/>
    </sheetView>
  </sheetViews>
  <sheetFormatPr baseColWidth="10" defaultRowHeight="16" x14ac:dyDescent="0.2"/>
  <sheetData>
    <row r="1" spans="1:3" ht="19" x14ac:dyDescent="0.2">
      <c r="A1" s="5" t="s">
        <v>17</v>
      </c>
      <c r="B1" s="5"/>
      <c r="C1" s="2">
        <v>800</v>
      </c>
    </row>
    <row r="2" spans="1:3" ht="19" x14ac:dyDescent="0.2">
      <c r="A2" s="5" t="s">
        <v>18</v>
      </c>
      <c r="B2" s="5"/>
      <c r="C2" s="2">
        <v>40</v>
      </c>
    </row>
    <row r="3" spans="1:3" x14ac:dyDescent="0.2">
      <c r="A3" s="5" t="s">
        <v>19</v>
      </c>
      <c r="B3" s="5"/>
      <c r="C3" s="2">
        <v>50</v>
      </c>
    </row>
    <row r="5" spans="1:3" ht="19" x14ac:dyDescent="0.2">
      <c r="A5" s="1" t="s">
        <v>20</v>
      </c>
    </row>
    <row r="6" spans="1:3" x14ac:dyDescent="0.2">
      <c r="A6" s="2" t="s">
        <v>21</v>
      </c>
      <c r="B6" s="2">
        <f>($C$1-$C$2)*EXP(-B7/$C$3)+$C$2</f>
        <v>600.00013813825797</v>
      </c>
    </row>
    <row r="7" spans="1:3" x14ac:dyDescent="0.2">
      <c r="A7" s="2" t="s">
        <v>22</v>
      </c>
      <c r="B7" s="2">
        <v>15.269070143787578</v>
      </c>
    </row>
    <row r="9" spans="1:3" ht="19" x14ac:dyDescent="0.2">
      <c r="A9" s="1" t="s">
        <v>23</v>
      </c>
    </row>
    <row r="10" spans="1:3" x14ac:dyDescent="0.2">
      <c r="A10" s="2" t="s">
        <v>21</v>
      </c>
      <c r="B10" s="2">
        <f>($C$1-$C$2)*EXP(-B11/$C$3)+$C$2</f>
        <v>300.00052057916156</v>
      </c>
    </row>
    <row r="11" spans="1:3" x14ac:dyDescent="0.2">
      <c r="A11" s="2" t="s">
        <v>22</v>
      </c>
      <c r="B11" s="2">
        <v>53.631740001965454</v>
      </c>
    </row>
    <row r="13" spans="1:3" ht="19" x14ac:dyDescent="0.2">
      <c r="A13" s="1" t="s">
        <v>24</v>
      </c>
    </row>
    <row r="14" spans="1:3" x14ac:dyDescent="0.2">
      <c r="A14" s="2" t="s">
        <v>21</v>
      </c>
      <c r="B14" s="2">
        <f>($C$1-$C$2)*EXP(-B15/$C$3)+$C$2</f>
        <v>50.000033827736772</v>
      </c>
    </row>
    <row r="15" spans="1:3" x14ac:dyDescent="0.2">
      <c r="A15" s="2" t="s">
        <v>22</v>
      </c>
      <c r="B15" s="2">
        <v>216.53649787591877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1b</vt:lpstr>
      <vt:lpstr>Problem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2025-11-02T01:36:34Z</dcterms:created>
  <dcterms:modified xsi:type="dcterms:W3CDTF">2025-11-05T01:24:09Z</dcterms:modified>
</cp:coreProperties>
</file>