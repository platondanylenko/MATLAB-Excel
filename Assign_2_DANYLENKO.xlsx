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8_{41F6606E-4C5A-BA49-AE43-C2FDC80DBCBE}" xr6:coauthVersionLast="47" xr6:coauthVersionMax="47" xr10:uidLastSave="{00000000-0000-0000-0000-000000000000}"/>
  <bookViews>
    <workbookView xWindow="0" yWindow="700" windowWidth="34200" windowHeight="19760" xr2:uid="{7758D664-39BB-AA44-B224-4CCBDF778B61}"/>
  </bookViews>
  <sheets>
    <sheet name="Problem 1" sheetId="4" r:id="rId1"/>
    <sheet name="Problem 2" sheetId="5" r:id="rId2"/>
    <sheet name="Problem 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6" l="1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11" i="6"/>
  <c r="E69" i="6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C11" i="6"/>
  <c r="B12" i="6"/>
  <c r="D11" i="6" s="1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20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21" i="5"/>
  <c r="D20" i="5"/>
  <c r="A21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E13" i="5"/>
  <c r="F13" i="5"/>
  <c r="G13" i="5"/>
  <c r="H13" i="5"/>
  <c r="D13" i="5"/>
  <c r="C30" i="4"/>
  <c r="I26" i="4"/>
  <c r="D23" i="4"/>
  <c r="I21" i="4"/>
  <c r="I20" i="4"/>
  <c r="I19" i="4"/>
  <c r="F12" i="4"/>
  <c r="F13" i="4"/>
  <c r="F11" i="4"/>
  <c r="F10" i="4"/>
  <c r="C12" i="6" l="1"/>
  <c r="E11" i="6"/>
  <c r="B13" i="6"/>
  <c r="D12" i="6" s="1"/>
  <c r="B14" i="6" l="1"/>
  <c r="D13" i="6" s="1"/>
  <c r="C13" i="6"/>
  <c r="E12" i="6"/>
  <c r="B15" i="6" l="1"/>
  <c r="D14" i="6" s="1"/>
  <c r="C14" i="6"/>
  <c r="E13" i="6"/>
  <c r="B16" i="6" l="1"/>
  <c r="D15" i="6" s="1"/>
  <c r="C15" i="6"/>
  <c r="E14" i="6"/>
  <c r="C16" i="6" l="1"/>
  <c r="E15" i="6"/>
  <c r="B17" i="6"/>
  <c r="D16" i="6" s="1"/>
  <c r="B18" i="6" l="1"/>
  <c r="D17" i="6" s="1"/>
  <c r="E16" i="6"/>
  <c r="C17" i="6"/>
  <c r="B19" i="6" l="1"/>
  <c r="D18" i="6" s="1"/>
  <c r="C18" i="6"/>
  <c r="E17" i="6"/>
  <c r="B20" i="6" l="1"/>
  <c r="D19" i="6" s="1"/>
  <c r="C19" i="6"/>
  <c r="E18" i="6"/>
  <c r="B21" i="6" l="1"/>
  <c r="E19" i="6"/>
  <c r="C20" i="6"/>
  <c r="D20" i="6" l="1"/>
  <c r="E20" i="6" s="1"/>
  <c r="B22" i="6"/>
  <c r="C21" i="6"/>
  <c r="B23" i="6" l="1"/>
  <c r="C22" i="6"/>
  <c r="D21" i="6"/>
  <c r="E21" i="6" s="1"/>
  <c r="B24" i="6" l="1"/>
  <c r="D22" i="6"/>
  <c r="E22" i="6" s="1"/>
  <c r="C23" i="6"/>
  <c r="B25" i="6" l="1"/>
  <c r="C24" i="6"/>
  <c r="D23" i="6"/>
  <c r="E23" i="6" s="1"/>
  <c r="B26" i="6" l="1"/>
  <c r="C25" i="6"/>
  <c r="D24" i="6"/>
  <c r="E24" i="6" s="1"/>
  <c r="B27" i="6" l="1"/>
  <c r="C26" i="6"/>
  <c r="D25" i="6"/>
  <c r="E25" i="6" s="1"/>
  <c r="B28" i="6" l="1"/>
  <c r="D26" i="6"/>
  <c r="E26" i="6" s="1"/>
  <c r="C27" i="6"/>
  <c r="B29" i="6" l="1"/>
  <c r="D27" i="6"/>
  <c r="E27" i="6" s="1"/>
  <c r="C28" i="6"/>
  <c r="B30" i="6" l="1"/>
  <c r="D28" i="6"/>
  <c r="E28" i="6" s="1"/>
  <c r="C29" i="6"/>
  <c r="B31" i="6" l="1"/>
  <c r="C30" i="6"/>
  <c r="D29" i="6"/>
  <c r="E29" i="6" s="1"/>
  <c r="D30" i="6" l="1"/>
  <c r="E30" i="6" s="1"/>
  <c r="C31" i="6"/>
  <c r="B32" i="6"/>
  <c r="B33" i="6" l="1"/>
  <c r="C32" i="6"/>
  <c r="D31" i="6"/>
  <c r="E31" i="6" s="1"/>
  <c r="B34" i="6" l="1"/>
  <c r="C33" i="6"/>
  <c r="D32" i="6"/>
  <c r="E32" i="6" s="1"/>
  <c r="B35" i="6" l="1"/>
  <c r="C34" i="6"/>
  <c r="D33" i="6"/>
  <c r="E33" i="6" s="1"/>
  <c r="B36" i="6" l="1"/>
  <c r="D34" i="6"/>
  <c r="E34" i="6" s="1"/>
  <c r="C35" i="6"/>
  <c r="B37" i="6" l="1"/>
  <c r="D35" i="6"/>
  <c r="E35" i="6" s="1"/>
  <c r="C36" i="6"/>
  <c r="D36" i="6" l="1"/>
  <c r="E36" i="6" s="1"/>
  <c r="B38" i="6"/>
  <c r="C37" i="6"/>
  <c r="B39" i="6" l="1"/>
  <c r="C38" i="6"/>
  <c r="D37" i="6"/>
  <c r="E37" i="6" s="1"/>
  <c r="B40" i="6" l="1"/>
  <c r="D38" i="6"/>
  <c r="E38" i="6" s="1"/>
  <c r="C39" i="6"/>
  <c r="B41" i="6" l="1"/>
  <c r="C40" i="6"/>
  <c r="D39" i="6"/>
  <c r="E39" i="6" s="1"/>
  <c r="C41" i="6" l="1"/>
  <c r="D40" i="6"/>
  <c r="E40" i="6" s="1"/>
  <c r="B42" i="6"/>
  <c r="B43" i="6" l="1"/>
  <c r="C42" i="6"/>
  <c r="D41" i="6"/>
  <c r="E41" i="6" s="1"/>
  <c r="B44" i="6" l="1"/>
  <c r="C43" i="6"/>
  <c r="D42" i="6"/>
  <c r="E42" i="6" s="1"/>
  <c r="B45" i="6" l="1"/>
  <c r="D43" i="6"/>
  <c r="E43" i="6" s="1"/>
  <c r="C44" i="6"/>
  <c r="B46" i="6" l="1"/>
  <c r="D44" i="6"/>
  <c r="E44" i="6" s="1"/>
  <c r="C45" i="6"/>
  <c r="B47" i="6" l="1"/>
  <c r="C46" i="6"/>
  <c r="D45" i="6"/>
  <c r="E45" i="6" s="1"/>
  <c r="B48" i="6" l="1"/>
  <c r="D46" i="6"/>
  <c r="E46" i="6" s="1"/>
  <c r="C47" i="6"/>
  <c r="B49" i="6" l="1"/>
  <c r="D47" i="6"/>
  <c r="E47" i="6" s="1"/>
  <c r="C48" i="6"/>
  <c r="B50" i="6" l="1"/>
  <c r="C49" i="6"/>
  <c r="D48" i="6"/>
  <c r="E48" i="6" s="1"/>
  <c r="B51" i="6" l="1"/>
  <c r="C50" i="6"/>
  <c r="D49" i="6"/>
  <c r="E49" i="6" s="1"/>
  <c r="C51" i="6" l="1"/>
  <c r="B52" i="6"/>
  <c r="D50" i="6"/>
  <c r="E50" i="6" s="1"/>
  <c r="B53" i="6" l="1"/>
  <c r="D51" i="6"/>
  <c r="E51" i="6" s="1"/>
  <c r="C52" i="6"/>
  <c r="B54" i="6" l="1"/>
  <c r="D52" i="6"/>
  <c r="E52" i="6" s="1"/>
  <c r="C53" i="6"/>
  <c r="B55" i="6" l="1"/>
  <c r="C54" i="6"/>
  <c r="D53" i="6"/>
  <c r="E53" i="6" s="1"/>
  <c r="B56" i="6" l="1"/>
  <c r="D54" i="6"/>
  <c r="E54" i="6" s="1"/>
  <c r="C55" i="6"/>
  <c r="B57" i="6" l="1"/>
  <c r="C56" i="6"/>
  <c r="D55" i="6"/>
  <c r="E55" i="6" s="1"/>
  <c r="D56" i="6" l="1"/>
  <c r="E56" i="6" s="1"/>
  <c r="C57" i="6"/>
  <c r="B58" i="6"/>
  <c r="B59" i="6" l="1"/>
  <c r="C58" i="6"/>
  <c r="D57" i="6"/>
  <c r="E57" i="6" s="1"/>
  <c r="B60" i="6" l="1"/>
  <c r="D58" i="6"/>
  <c r="E58" i="6" s="1"/>
  <c r="C59" i="6"/>
  <c r="B61" i="6" l="1"/>
  <c r="D59" i="6"/>
  <c r="E59" i="6" s="1"/>
  <c r="C60" i="6"/>
  <c r="D60" i="6" l="1"/>
  <c r="E60" i="6" s="1"/>
  <c r="B62" i="6"/>
  <c r="C61" i="6"/>
  <c r="B63" i="6" l="1"/>
  <c r="C62" i="6"/>
  <c r="D61" i="6"/>
  <c r="E61" i="6" s="1"/>
  <c r="B64" i="6" l="1"/>
  <c r="C63" i="6"/>
  <c r="D62" i="6"/>
  <c r="E62" i="6" s="1"/>
  <c r="B65" i="6" l="1"/>
  <c r="D64" i="6" s="1"/>
  <c r="C64" i="6"/>
  <c r="D63" i="6"/>
  <c r="E63" i="6" s="1"/>
  <c r="B66" i="6" l="1"/>
  <c r="D65" i="6" s="1"/>
  <c r="E64" i="6"/>
  <c r="C65" i="6"/>
  <c r="B67" i="6" l="1"/>
  <c r="D66" i="6" s="1"/>
  <c r="E65" i="6"/>
  <c r="C66" i="6"/>
  <c r="B68" i="6" l="1"/>
  <c r="D67" i="6" s="1"/>
  <c r="E66" i="6"/>
  <c r="C67" i="6"/>
  <c r="B69" i="6" l="1"/>
  <c r="D68" i="6" s="1"/>
  <c r="E68" i="6" s="1"/>
  <c r="E67" i="6"/>
  <c r="C68" i="6"/>
  <c r="C69" i="6" l="1"/>
</calcChain>
</file>

<file path=xl/sharedStrings.xml><?xml version="1.0" encoding="utf-8"?>
<sst xmlns="http://schemas.openxmlformats.org/spreadsheetml/2006/main" count="71" uniqueCount="48">
  <si>
    <t>Aluminum</t>
  </si>
  <si>
    <t>Copper</t>
  </si>
  <si>
    <t>Gold</t>
  </si>
  <si>
    <t>Nickel</t>
  </si>
  <si>
    <t>Steel</t>
  </si>
  <si>
    <t>Loop</t>
  </si>
  <si>
    <t>t</t>
  </si>
  <si>
    <t>y</t>
  </si>
  <si>
    <t>a)</t>
  </si>
  <si>
    <t>b)</t>
  </si>
  <si>
    <t>Quantity</t>
  </si>
  <si>
    <t>Number of hours per day</t>
  </si>
  <si>
    <t>Number of days per year</t>
  </si>
  <si>
    <t>Annual cost calculation</t>
  </si>
  <si>
    <t>Lightsbulbs</t>
  </si>
  <si>
    <t>Power consumption (W)</t>
  </si>
  <si>
    <t>60-W incandescent bulb</t>
  </si>
  <si>
    <t>75-W incandescent bulb</t>
  </si>
  <si>
    <t>100-W incandescent bulb</t>
  </si>
  <si>
    <t>10-W light emitting diode (LED) bulb</t>
  </si>
  <si>
    <t>Annual cost, ($/year)</t>
  </si>
  <si>
    <t>Savings calculation</t>
  </si>
  <si>
    <t>Adjusted annual cost, ($/year)</t>
  </si>
  <si>
    <t>Annual savings, ($/year):</t>
  </si>
  <si>
    <t>Average electricity cost, ($/kW-hr)</t>
  </si>
  <si>
    <t>Input variables</t>
  </si>
  <si>
    <t>Temperature calculation</t>
  </si>
  <si>
    <t>Time constant calculation</t>
  </si>
  <si>
    <t>Which metal cools the fastest?</t>
  </si>
  <si>
    <t>Maximum height calculation</t>
  </si>
  <si>
    <t>Maximum height</t>
  </si>
  <si>
    <r>
      <t xml:space="preserve">Initial temperature, </t>
    </r>
    <r>
      <rPr>
        <i/>
        <sz val="12"/>
        <color theme="1"/>
        <rFont val="Aptos Narrow"/>
        <family val="2"/>
        <scheme val="minor"/>
      </rPr>
      <t>T</t>
    </r>
    <r>
      <rPr>
        <i/>
        <vertAlign val="subscript"/>
        <sz val="12"/>
        <color theme="1"/>
        <rFont val="Aptos Narrow (Body)"/>
      </rPr>
      <t>i</t>
    </r>
    <r>
      <rPr>
        <sz val="12"/>
        <color theme="1"/>
        <rFont val="Aptos Narrow"/>
        <family val="2"/>
        <scheme val="minor"/>
      </rPr>
      <t xml:space="preserve">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</si>
  <si>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 xml:space="preserve">Oil temperature, </t>
    </r>
    <r>
      <rPr>
        <i/>
        <sz val="12"/>
        <color theme="1"/>
        <rFont val="Aptos Narrow"/>
        <family val="2"/>
        <scheme val="minor"/>
      </rPr>
      <t>T</t>
    </r>
    <r>
      <rPr>
        <i/>
        <vertAlign val="subscript"/>
        <sz val="12"/>
        <color theme="1"/>
        <rFont val="Aptos Narrow (Body)"/>
      </rPr>
      <t>∞</t>
    </r>
    <r>
      <rPr>
        <sz val="12"/>
        <color theme="1"/>
        <rFont val="Aptos Narrow"/>
        <family val="2"/>
        <scheme val="minor"/>
      </rPr>
      <t xml:space="preserve">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</si>
  <si>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 xml:space="preserve">Diameter, </t>
    </r>
    <r>
      <rPr>
        <i/>
        <sz val="12"/>
        <color theme="1"/>
        <rFont val="Aptos Narrow"/>
        <scheme val="minor"/>
      </rPr>
      <t>D</t>
    </r>
    <r>
      <rPr>
        <sz val="12"/>
        <color theme="1"/>
        <rFont val="Aptos Narrow"/>
        <family val="2"/>
        <scheme val="minor"/>
      </rPr>
      <t xml:space="preserve"> (cm)</t>
    </r>
  </si>
  <si>
    <r>
      <t xml:space="preserve">Heat transfer coefficient, </t>
    </r>
    <r>
      <rPr>
        <i/>
        <sz val="12"/>
        <color theme="1"/>
        <rFont val="Aptos Narrow"/>
        <scheme val="minor"/>
      </rPr>
      <t>h</t>
    </r>
    <r>
      <rPr>
        <sz val="12"/>
        <color theme="1"/>
        <rFont val="Aptos Narrow"/>
        <family val="2"/>
        <scheme val="minor"/>
      </rPr>
      <t xml:space="preserve"> (W/cm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/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</si>
  <si>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 xml:space="preserve">Density, </t>
    </r>
    <r>
      <rPr>
        <i/>
        <sz val="12"/>
        <color theme="1"/>
        <rFont val="Aptos Narrow"/>
        <scheme val="minor"/>
      </rPr>
      <t>ρ</t>
    </r>
    <r>
      <rPr>
        <sz val="12"/>
        <color theme="1"/>
        <rFont val="Aptos Narrow"/>
        <family val="2"/>
        <scheme val="minor"/>
      </rPr>
      <t xml:space="preserve"> (g/cm</t>
    </r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)</t>
    </r>
  </si>
  <si>
    <r>
      <t xml:space="preserve">Specific heat capacity, </t>
    </r>
    <r>
      <rPr>
        <i/>
        <sz val="12"/>
        <color theme="1"/>
        <rFont val="Aptos Narrow"/>
        <family val="2"/>
        <scheme val="minor"/>
      </rPr>
      <t>c</t>
    </r>
    <r>
      <rPr>
        <i/>
        <vertAlign val="subscript"/>
        <sz val="12"/>
        <color theme="1"/>
        <rFont val="Aptos Narrow (Body)"/>
      </rPr>
      <t>p</t>
    </r>
    <r>
      <rPr>
        <sz val="12"/>
        <color theme="1"/>
        <rFont val="Aptos Narrow"/>
        <family val="2"/>
        <scheme val="minor"/>
      </rPr>
      <t xml:space="preserve"> (J/g/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</si>
  <si>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 xml:space="preserve">Time constant, </t>
    </r>
    <r>
      <rPr>
        <i/>
        <sz val="12"/>
        <color theme="1"/>
        <rFont val="Aptos Narrow"/>
        <scheme val="minor"/>
      </rPr>
      <t>τ</t>
    </r>
    <r>
      <rPr>
        <sz val="12"/>
        <color theme="1"/>
        <rFont val="Aptos Narrow"/>
        <family val="2"/>
        <scheme val="minor"/>
      </rPr>
      <t xml:space="preserve"> (seconds)</t>
    </r>
  </si>
  <si>
    <r>
      <t xml:space="preserve">Time, </t>
    </r>
    <r>
      <rPr>
        <i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 xml:space="preserve"> (seconds)</t>
    </r>
  </si>
  <si>
    <r>
      <t xml:space="preserve">Temperature, </t>
    </r>
    <r>
      <rPr>
        <i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 xml:space="preserve">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</si>
  <si>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r>
      <t xml:space="preserve">Gravitational acceleration, </t>
    </r>
    <r>
      <rPr>
        <i/>
        <sz val="12"/>
        <color theme="1"/>
        <rFont val="Aptos Narrow"/>
        <scheme val="minor"/>
      </rPr>
      <t>g</t>
    </r>
    <r>
      <rPr>
        <sz val="12"/>
        <color theme="1"/>
        <rFont val="Aptos Narrow"/>
        <family val="2"/>
        <scheme val="minor"/>
      </rPr>
      <t xml:space="preserve"> (m/s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</si>
  <si>
    <r>
      <t xml:space="preserve">Initial velocity, </t>
    </r>
    <r>
      <rPr>
        <i/>
        <sz val="12"/>
        <color theme="1"/>
        <rFont val="Aptos Narrow"/>
        <family val="2"/>
        <scheme val="minor"/>
      </rPr>
      <t>V</t>
    </r>
    <r>
      <rPr>
        <i/>
        <vertAlign val="sub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 xml:space="preserve"> (m/s)</t>
    </r>
  </si>
  <si>
    <r>
      <t xml:space="preserve">Angle, </t>
    </r>
    <r>
      <rPr>
        <i/>
        <sz val="12"/>
        <color theme="1"/>
        <rFont val="Aptos Narrow"/>
        <scheme val="minor"/>
      </rPr>
      <t>θ</t>
    </r>
    <r>
      <rPr>
        <sz val="12"/>
        <color theme="1"/>
        <rFont val="Aptos Narrow"/>
        <family val="2"/>
        <scheme val="minor"/>
      </rPr>
      <t xml:space="preserve"> (degrees)</t>
    </r>
  </si>
  <si>
    <r>
      <t xml:space="preserve">Increment time, </t>
    </r>
    <r>
      <rPr>
        <i/>
        <sz val="12"/>
        <color theme="1"/>
        <rFont val="Aptos Narrow"/>
        <scheme val="minor"/>
      </rPr>
      <t>Δt</t>
    </r>
    <r>
      <rPr>
        <sz val="12"/>
        <color theme="1"/>
        <rFont val="Aptos Narrow"/>
        <family val="2"/>
        <scheme val="minor"/>
      </rPr>
      <t xml:space="preserve"> (seconds)</t>
    </r>
  </si>
  <si>
    <r>
      <t xml:space="preserve">Analytical maximum height, </t>
    </r>
    <r>
      <rPr>
        <i/>
        <sz val="12"/>
        <color theme="1"/>
        <rFont val="Aptos Narrow"/>
        <family val="2"/>
        <scheme val="minor"/>
      </rPr>
      <t>y</t>
    </r>
    <r>
      <rPr>
        <i/>
        <vertAlign val="subscript"/>
        <sz val="12"/>
        <color theme="1"/>
        <rFont val="Aptos Narrow (Body)"/>
      </rPr>
      <t>max</t>
    </r>
    <r>
      <rPr>
        <sz val="12"/>
        <color theme="1"/>
        <rFont val="Aptos Narrow"/>
        <family val="2"/>
        <scheme val="minor"/>
      </rPr>
      <t xml:space="preserve"> (m)</t>
    </r>
  </si>
  <si>
    <r>
      <rPr>
        <i/>
        <sz val="12"/>
        <color theme="1"/>
        <rFont val="Aptos Narrow"/>
        <family val="2"/>
        <scheme val="minor"/>
      </rPr>
      <t>t</t>
    </r>
    <r>
      <rPr>
        <i/>
        <vertAlign val="subscript"/>
        <sz val="12"/>
        <color theme="1"/>
        <rFont val="Aptos Narrow (Body)"/>
      </rPr>
      <t>new</t>
    </r>
  </si>
  <si>
    <r>
      <rPr>
        <i/>
        <sz val="12"/>
        <color theme="1"/>
        <rFont val="Aptos Narrow"/>
        <family val="2"/>
        <scheme val="minor"/>
      </rPr>
      <t>y</t>
    </r>
    <r>
      <rPr>
        <i/>
        <vertAlign val="subscript"/>
        <sz val="12"/>
        <color theme="1"/>
        <rFont val="Aptos Narrow (Body)"/>
      </rPr>
      <t>new</t>
    </r>
  </si>
  <si>
    <t>Total adjusted annual cost, ($/year):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</si>
</sst>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Aptos Narrow (Body)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/>
    <xf numFmtId="166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022D-EC71-5A48-979B-3B7AD14FF903}">
  <dimension ref="A1:K30"/>
  <sheetViews>
    <sheetView tabSelected="1" zoomScaleNormal="100" workbookViewId="0">
      <selection sqref="A1:C1"/>
    </sheetView>
  </sheetViews>
  <sheetFormatPr baseColWidth="10" defaultRowHeight="16" x14ac:dyDescent="0.2"/>
  <sheetData>
    <row r="1" spans="1:7" x14ac:dyDescent="0.2">
      <c r="A1" s="16" t="s">
        <v>25</v>
      </c>
      <c r="B1" s="16"/>
      <c r="C1" s="16"/>
    </row>
    <row r="2" spans="1:7" x14ac:dyDescent="0.2">
      <c r="A2" s="16" t="s">
        <v>11</v>
      </c>
      <c r="B2" s="16"/>
      <c r="C2" s="16"/>
      <c r="D2" s="1">
        <v>6</v>
      </c>
    </row>
    <row r="3" spans="1:7" x14ac:dyDescent="0.2">
      <c r="A3" s="16" t="s">
        <v>12</v>
      </c>
      <c r="B3" s="16"/>
      <c r="C3" s="16"/>
      <c r="D3" s="1">
        <v>365</v>
      </c>
    </row>
    <row r="4" spans="1:7" x14ac:dyDescent="0.2">
      <c r="A4" s="16" t="s">
        <v>24</v>
      </c>
      <c r="B4" s="16"/>
      <c r="C4" s="16"/>
      <c r="D4" s="2">
        <v>0.2</v>
      </c>
    </row>
    <row r="6" spans="1:7" x14ac:dyDescent="0.2">
      <c r="A6" t="s">
        <v>8</v>
      </c>
    </row>
    <row r="7" spans="1:7" x14ac:dyDescent="0.2">
      <c r="A7" s="16" t="s">
        <v>13</v>
      </c>
      <c r="B7" s="16"/>
      <c r="C7" s="16"/>
    </row>
    <row r="9" spans="1:7" x14ac:dyDescent="0.2">
      <c r="A9" s="15" t="s">
        <v>14</v>
      </c>
      <c r="B9" s="15"/>
      <c r="C9" s="15"/>
      <c r="D9" s="15" t="s">
        <v>15</v>
      </c>
      <c r="E9" s="15"/>
      <c r="F9" s="15" t="s">
        <v>20</v>
      </c>
      <c r="G9" s="15"/>
    </row>
    <row r="10" spans="1:7" x14ac:dyDescent="0.2">
      <c r="A10" s="15" t="s">
        <v>16</v>
      </c>
      <c r="B10" s="15"/>
      <c r="C10" s="15"/>
      <c r="D10" s="15">
        <v>60</v>
      </c>
      <c r="E10" s="15"/>
      <c r="F10" s="17">
        <f>$D$2*$D$3*$D$4*(D10/1000)</f>
        <v>26.279999999999998</v>
      </c>
      <c r="G10" s="17"/>
    </row>
    <row r="11" spans="1:7" x14ac:dyDescent="0.2">
      <c r="A11" s="15" t="s">
        <v>17</v>
      </c>
      <c r="B11" s="15"/>
      <c r="C11" s="15"/>
      <c r="D11" s="15">
        <v>75</v>
      </c>
      <c r="E11" s="15"/>
      <c r="F11" s="17">
        <f>$D$2*$D$3*$D$4*(D11/1000)</f>
        <v>32.85</v>
      </c>
      <c r="G11" s="17"/>
    </row>
    <row r="12" spans="1:7" x14ac:dyDescent="0.2">
      <c r="A12" s="15" t="s">
        <v>18</v>
      </c>
      <c r="B12" s="15"/>
      <c r="C12" s="15"/>
      <c r="D12" s="15">
        <v>100</v>
      </c>
      <c r="E12" s="15"/>
      <c r="F12" s="17">
        <f t="shared" ref="F12:F13" si="0">$D$2*$D$3*$D$4*(D12/1000)</f>
        <v>43.800000000000004</v>
      </c>
      <c r="G12" s="17"/>
    </row>
    <row r="13" spans="1:7" x14ac:dyDescent="0.2">
      <c r="A13" s="15" t="s">
        <v>19</v>
      </c>
      <c r="B13" s="15"/>
      <c r="C13" s="15"/>
      <c r="D13" s="15">
        <v>10</v>
      </c>
      <c r="E13" s="15"/>
      <c r="F13" s="17">
        <f t="shared" si="0"/>
        <v>4.38</v>
      </c>
      <c r="G13" s="17"/>
    </row>
    <row r="15" spans="1:7" x14ac:dyDescent="0.2">
      <c r="A15" t="s">
        <v>9</v>
      </c>
    </row>
    <row r="16" spans="1:7" x14ac:dyDescent="0.2">
      <c r="A16" s="16" t="s">
        <v>21</v>
      </c>
      <c r="B16" s="16"/>
      <c r="C16" s="16"/>
    </row>
    <row r="18" spans="1:11" x14ac:dyDescent="0.2">
      <c r="A18" s="18" t="s">
        <v>14</v>
      </c>
      <c r="B18" s="18"/>
      <c r="C18" s="18"/>
      <c r="D18" s="18" t="s">
        <v>15</v>
      </c>
      <c r="E18" s="18"/>
      <c r="F18" s="18" t="s">
        <v>20</v>
      </c>
      <c r="G18" s="18"/>
      <c r="H18" s="4" t="s">
        <v>10</v>
      </c>
      <c r="I18" s="15" t="s">
        <v>22</v>
      </c>
      <c r="J18" s="15"/>
      <c r="K18" s="15"/>
    </row>
    <row r="19" spans="1:11" x14ac:dyDescent="0.2">
      <c r="A19" s="18" t="s">
        <v>16</v>
      </c>
      <c r="B19" s="18"/>
      <c r="C19" s="18"/>
      <c r="D19" s="18">
        <v>60</v>
      </c>
      <c r="E19" s="18"/>
      <c r="F19" s="19">
        <v>26.28</v>
      </c>
      <c r="G19" s="19"/>
      <c r="H19" s="4">
        <v>6</v>
      </c>
      <c r="I19" s="17">
        <f>F19*H19</f>
        <v>157.68</v>
      </c>
      <c r="J19" s="17"/>
      <c r="K19" s="17"/>
    </row>
    <row r="20" spans="1:11" x14ac:dyDescent="0.2">
      <c r="A20" s="18" t="s">
        <v>17</v>
      </c>
      <c r="B20" s="18"/>
      <c r="C20" s="18"/>
      <c r="D20" s="18">
        <v>75</v>
      </c>
      <c r="E20" s="18"/>
      <c r="F20" s="19">
        <v>32.85</v>
      </c>
      <c r="G20" s="19"/>
      <c r="H20" s="4">
        <v>4</v>
      </c>
      <c r="I20" s="17">
        <f>F20*H20</f>
        <v>131.4</v>
      </c>
      <c r="J20" s="17"/>
      <c r="K20" s="17"/>
    </row>
    <row r="21" spans="1:11" x14ac:dyDescent="0.2">
      <c r="A21" s="18" t="s">
        <v>18</v>
      </c>
      <c r="B21" s="18"/>
      <c r="C21" s="18"/>
      <c r="D21" s="18">
        <v>100</v>
      </c>
      <c r="E21" s="18"/>
      <c r="F21" s="19">
        <v>43.8</v>
      </c>
      <c r="G21" s="19"/>
      <c r="H21" s="4">
        <v>2</v>
      </c>
      <c r="I21" s="17">
        <f>F21*H21</f>
        <v>87.6</v>
      </c>
      <c r="J21" s="17"/>
      <c r="K21" s="17"/>
    </row>
    <row r="22" spans="1:11" x14ac:dyDescent="0.2">
      <c r="B22" s="3"/>
      <c r="C22" s="3"/>
      <c r="D22" s="3"/>
      <c r="E22" s="3"/>
      <c r="F22" s="3"/>
      <c r="G22" s="3"/>
      <c r="H22" s="1"/>
    </row>
    <row r="23" spans="1:11" x14ac:dyDescent="0.2">
      <c r="A23" s="16" t="s">
        <v>47</v>
      </c>
      <c r="B23" s="16"/>
      <c r="C23" s="16"/>
      <c r="D23" s="1">
        <f>I19+I20+I21</f>
        <v>376.68000000000006</v>
      </c>
    </row>
    <row r="25" spans="1:11" x14ac:dyDescent="0.2">
      <c r="A25" s="18" t="s">
        <v>14</v>
      </c>
      <c r="B25" s="18"/>
      <c r="C25" s="18"/>
      <c r="D25" s="18" t="s">
        <v>15</v>
      </c>
      <c r="E25" s="18"/>
      <c r="F25" s="18" t="s">
        <v>20</v>
      </c>
      <c r="G25" s="18"/>
      <c r="H25" s="4" t="s">
        <v>10</v>
      </c>
      <c r="I25" s="15" t="s">
        <v>22</v>
      </c>
      <c r="J25" s="15"/>
      <c r="K25" s="15"/>
    </row>
    <row r="26" spans="1:11" x14ac:dyDescent="0.2">
      <c r="A26" s="15" t="s">
        <v>19</v>
      </c>
      <c r="B26" s="15"/>
      <c r="C26" s="15"/>
      <c r="D26" s="15">
        <v>10</v>
      </c>
      <c r="E26" s="15"/>
      <c r="F26" s="15">
        <v>4.38</v>
      </c>
      <c r="G26" s="15"/>
      <c r="H26" s="4">
        <v>12</v>
      </c>
      <c r="I26" s="15">
        <f>F26*H26</f>
        <v>52.56</v>
      </c>
      <c r="J26" s="15"/>
      <c r="K26" s="15"/>
    </row>
    <row r="28" spans="1:11" x14ac:dyDescent="0.2">
      <c r="A28" s="16" t="s">
        <v>47</v>
      </c>
      <c r="B28" s="16"/>
      <c r="C28" s="16"/>
      <c r="D28" s="1">
        <v>52.56</v>
      </c>
    </row>
    <row r="30" spans="1:11" x14ac:dyDescent="0.2">
      <c r="A30" s="16" t="s">
        <v>23</v>
      </c>
      <c r="B30" s="16"/>
      <c r="C30" s="1">
        <f>D23-D28</f>
        <v>324.12000000000006</v>
      </c>
    </row>
  </sheetData>
  <mergeCells count="48">
    <mergeCell ref="A28:C28"/>
    <mergeCell ref="A7:C7"/>
    <mergeCell ref="A4:C4"/>
    <mergeCell ref="A2:C2"/>
    <mergeCell ref="A3:C3"/>
    <mergeCell ref="A1:C1"/>
    <mergeCell ref="F9:G9"/>
    <mergeCell ref="F10:G10"/>
    <mergeCell ref="F11:G11"/>
    <mergeCell ref="F12:G12"/>
    <mergeCell ref="F13:G13"/>
    <mergeCell ref="A16:C16"/>
    <mergeCell ref="D9:E9"/>
    <mergeCell ref="D10:E10"/>
    <mergeCell ref="D11:E11"/>
    <mergeCell ref="D12:E12"/>
    <mergeCell ref="D13:E13"/>
    <mergeCell ref="A10:C10"/>
    <mergeCell ref="A11:C11"/>
    <mergeCell ref="A12:C12"/>
    <mergeCell ref="A13:C13"/>
    <mergeCell ref="A9:C9"/>
    <mergeCell ref="F18:G18"/>
    <mergeCell ref="F19:G19"/>
    <mergeCell ref="A26:C26"/>
    <mergeCell ref="F20:G20"/>
    <mergeCell ref="F21:G21"/>
    <mergeCell ref="A18:C18"/>
    <mergeCell ref="A19:C19"/>
    <mergeCell ref="A20:C20"/>
    <mergeCell ref="A21:C21"/>
    <mergeCell ref="A23:C23"/>
    <mergeCell ref="D26:E26"/>
    <mergeCell ref="F26:G26"/>
    <mergeCell ref="I26:K26"/>
    <mergeCell ref="A30:B30"/>
    <mergeCell ref="I18:K18"/>
    <mergeCell ref="I19:K19"/>
    <mergeCell ref="I20:K20"/>
    <mergeCell ref="I21:K21"/>
    <mergeCell ref="A25:C25"/>
    <mergeCell ref="D25:E25"/>
    <mergeCell ref="F25:G25"/>
    <mergeCell ref="I25:K25"/>
    <mergeCell ref="D19:E19"/>
    <mergeCell ref="D20:E20"/>
    <mergeCell ref="D21:E21"/>
    <mergeCell ref="D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A353-BCE0-3145-8EE0-4C8E89606A08}">
  <dimension ref="A1:H42"/>
  <sheetViews>
    <sheetView zoomScaleNormal="100" workbookViewId="0">
      <selection activeCell="E15" sqref="E15"/>
    </sheetView>
  </sheetViews>
  <sheetFormatPr baseColWidth="10" defaultRowHeight="16" x14ac:dyDescent="0.2"/>
  <sheetData>
    <row r="1" spans="1:8" x14ac:dyDescent="0.2">
      <c r="A1" s="16" t="s">
        <v>25</v>
      </c>
      <c r="B1" s="16"/>
      <c r="C1" s="16"/>
    </row>
    <row r="2" spans="1:8" ht="19" x14ac:dyDescent="0.2">
      <c r="A2" s="16" t="s">
        <v>31</v>
      </c>
      <c r="B2" s="16"/>
      <c r="C2" s="16"/>
      <c r="D2" s="1">
        <v>400</v>
      </c>
    </row>
    <row r="3" spans="1:8" ht="19" x14ac:dyDescent="0.2">
      <c r="A3" s="16" t="s">
        <v>32</v>
      </c>
      <c r="B3" s="16"/>
      <c r="C3" s="16"/>
      <c r="D3" s="1">
        <v>100</v>
      </c>
    </row>
    <row r="4" spans="1:8" x14ac:dyDescent="0.2">
      <c r="A4" s="16" t="s">
        <v>33</v>
      </c>
      <c r="B4" s="16"/>
      <c r="C4" s="16"/>
      <c r="D4" s="1">
        <v>0.5</v>
      </c>
    </row>
    <row r="5" spans="1:8" ht="19" x14ac:dyDescent="0.2">
      <c r="A5" s="16" t="s">
        <v>34</v>
      </c>
      <c r="B5" s="16"/>
      <c r="C5" s="16"/>
      <c r="D5" s="1">
        <v>0.3</v>
      </c>
    </row>
    <row r="6" spans="1:8" x14ac:dyDescent="0.2">
      <c r="D6" s="1"/>
    </row>
    <row r="7" spans="1:8" x14ac:dyDescent="0.2">
      <c r="A7" t="s">
        <v>8</v>
      </c>
    </row>
    <row r="8" spans="1:8" x14ac:dyDescent="0.2">
      <c r="A8" s="16" t="s">
        <v>27</v>
      </c>
      <c r="B8" s="16"/>
      <c r="C8" s="16"/>
    </row>
    <row r="10" spans="1:8" x14ac:dyDescent="0.2">
      <c r="D10" s="4" t="s">
        <v>0</v>
      </c>
      <c r="E10" s="4" t="s">
        <v>1</v>
      </c>
      <c r="F10" s="4" t="s">
        <v>2</v>
      </c>
      <c r="G10" s="4" t="s">
        <v>3</v>
      </c>
      <c r="H10" s="4" t="s">
        <v>4</v>
      </c>
    </row>
    <row r="11" spans="1:8" ht="19" x14ac:dyDescent="0.2">
      <c r="A11" s="15" t="s">
        <v>35</v>
      </c>
      <c r="B11" s="15"/>
      <c r="C11" s="15"/>
      <c r="D11" s="6">
        <v>2.77</v>
      </c>
      <c r="E11" s="6">
        <v>8.92</v>
      </c>
      <c r="F11" s="6">
        <v>19.3</v>
      </c>
      <c r="G11" s="6">
        <v>8.9</v>
      </c>
      <c r="H11" s="6">
        <v>7.83</v>
      </c>
    </row>
    <row r="12" spans="1:8" ht="19" x14ac:dyDescent="0.2">
      <c r="A12" s="15" t="s">
        <v>36</v>
      </c>
      <c r="B12" s="15"/>
      <c r="C12" s="15"/>
      <c r="D12" s="4">
        <v>0.875</v>
      </c>
      <c r="E12" s="4">
        <v>0.38500000000000001</v>
      </c>
      <c r="F12" s="4">
        <v>0.129</v>
      </c>
      <c r="G12" s="4">
        <v>0.44400000000000001</v>
      </c>
      <c r="H12" s="4">
        <v>0.434</v>
      </c>
    </row>
    <row r="13" spans="1:8" x14ac:dyDescent="0.2">
      <c r="A13" s="15" t="s">
        <v>37</v>
      </c>
      <c r="B13" s="15"/>
      <c r="C13" s="15"/>
      <c r="D13" s="6">
        <f>(D11*$D$4*D12)/(6*$D$5)</f>
        <v>0.67326388888888899</v>
      </c>
      <c r="E13" s="6">
        <f t="shared" ref="E13:H13" si="0">(E11*$D$4*E12)/(6*$D$5)</f>
        <v>0.95394444444444459</v>
      </c>
      <c r="F13" s="6">
        <f t="shared" si="0"/>
        <v>0.69158333333333344</v>
      </c>
      <c r="G13" s="6">
        <f t="shared" si="0"/>
        <v>1.0976666666666668</v>
      </c>
      <c r="H13" s="6">
        <f t="shared" si="0"/>
        <v>0.94395000000000007</v>
      </c>
    </row>
    <row r="15" spans="1:8" x14ac:dyDescent="0.2">
      <c r="A15" t="s">
        <v>9</v>
      </c>
    </row>
    <row r="16" spans="1:8" x14ac:dyDescent="0.2">
      <c r="A16" s="16" t="s">
        <v>26</v>
      </c>
      <c r="B16" s="16"/>
      <c r="C16" s="16"/>
    </row>
    <row r="18" spans="1:8" ht="19" x14ac:dyDescent="0.2">
      <c r="A18" s="23" t="s">
        <v>38</v>
      </c>
      <c r="B18" s="24"/>
      <c r="C18" s="25"/>
      <c r="D18" s="15" t="s">
        <v>39</v>
      </c>
      <c r="E18" s="15"/>
      <c r="F18" s="15"/>
      <c r="G18" s="15"/>
      <c r="H18" s="15"/>
    </row>
    <row r="19" spans="1:8" x14ac:dyDescent="0.2">
      <c r="A19" s="23"/>
      <c r="B19" s="24"/>
      <c r="C19" s="25"/>
      <c r="D19" s="4" t="s">
        <v>0</v>
      </c>
      <c r="E19" s="4" t="s">
        <v>1</v>
      </c>
      <c r="F19" s="4" t="s">
        <v>2</v>
      </c>
      <c r="G19" s="4" t="s">
        <v>3</v>
      </c>
      <c r="H19" s="4" t="s">
        <v>4</v>
      </c>
    </row>
    <row r="20" spans="1:8" x14ac:dyDescent="0.2">
      <c r="A20" s="20">
        <v>0</v>
      </c>
      <c r="B20" s="21"/>
      <c r="C20" s="22"/>
      <c r="D20" s="8">
        <f>($D$2-$D$3)*EXP(-A20/$D$13)+$D$3</f>
        <v>400</v>
      </c>
      <c r="E20" s="8">
        <f>($D$2-$D$3)*EXP(-A20/$E$13)+$D$3</f>
        <v>400</v>
      </c>
      <c r="F20" s="8">
        <f>($D$2-$D$3)*EXP(-A20/$F$13)+$D$3</f>
        <v>400</v>
      </c>
      <c r="G20" s="8">
        <f>($D$2-$D$3)*EXP(-A20/$G$13)+$D$3</f>
        <v>400</v>
      </c>
      <c r="H20" s="8">
        <f>($D$2-$D$3)*EXP(-A20/$H$13)+$D$3</f>
        <v>400</v>
      </c>
    </row>
    <row r="21" spans="1:8" x14ac:dyDescent="0.2">
      <c r="A21" s="20">
        <f>A20+0.5</f>
        <v>0.5</v>
      </c>
      <c r="B21" s="21"/>
      <c r="C21" s="22"/>
      <c r="D21" s="8">
        <f>($D$2-$D$3)*EXP(-A21/$D$13)+$D$3</f>
        <v>242.75524975147351</v>
      </c>
      <c r="E21" s="8">
        <f t="shared" ref="E21:E40" si="1">($D$2-$D$3)*EXP(-A21/$E$13)+$D$3</f>
        <v>277.61937837254266</v>
      </c>
      <c r="F21" s="8">
        <f t="shared" ref="F21:F40" si="2">($D$2-$D$3)*EXP(-A21/$F$13)+$D$3</f>
        <v>245.59136133718539</v>
      </c>
      <c r="G21" s="8">
        <f t="shared" ref="G21:G40" si="3">($D$2-$D$3)*EXP(-A21/$G$13)+$D$3</f>
        <v>290.237022814282</v>
      </c>
      <c r="H21" s="8">
        <f t="shared" ref="H21:H40" si="4">($D$2-$D$3)*EXP(-A21/$H$13)+$D$3</f>
        <v>276.63640347894278</v>
      </c>
    </row>
    <row r="22" spans="1:8" x14ac:dyDescent="0.2">
      <c r="A22" s="20">
        <f>A21+0.5</f>
        <v>1</v>
      </c>
      <c r="B22" s="21"/>
      <c r="C22" s="22"/>
      <c r="D22" s="8">
        <f t="shared" ref="D22:D40" si="5">($D$2-$D$3)*EXP(-A22/$D$13)+$D$3</f>
        <v>167.93020443868528</v>
      </c>
      <c r="E22" s="8">
        <f t="shared" si="1"/>
        <v>205.1621452448282</v>
      </c>
      <c r="F22" s="8">
        <f t="shared" si="2"/>
        <v>170.65614832004962</v>
      </c>
      <c r="G22" s="8">
        <f t="shared" si="3"/>
        <v>220.63374949747214</v>
      </c>
      <c r="H22" s="8">
        <f t="shared" si="4"/>
        <v>204.00139677991956</v>
      </c>
    </row>
    <row r="23" spans="1:8" x14ac:dyDescent="0.2">
      <c r="A23" s="20">
        <f t="shared" ref="A23:A40" si="6">A22+0.5</f>
        <v>1.5</v>
      </c>
      <c r="B23" s="21"/>
      <c r="C23" s="22"/>
      <c r="D23" s="8">
        <f t="shared" si="5"/>
        <v>132.32464433437724</v>
      </c>
      <c r="E23" s="8">
        <f t="shared" si="1"/>
        <v>162.26278288903143</v>
      </c>
      <c r="F23" s="8">
        <f t="shared" si="2"/>
        <v>134.28974940252704</v>
      </c>
      <c r="G23" s="8">
        <f t="shared" si="3"/>
        <v>176.49668451774329</v>
      </c>
      <c r="H23" s="8">
        <f t="shared" si="4"/>
        <v>161.23477561330498</v>
      </c>
    </row>
    <row r="24" spans="1:8" x14ac:dyDescent="0.2">
      <c r="A24" s="20">
        <f t="shared" si="6"/>
        <v>2</v>
      </c>
      <c r="B24" s="21"/>
      <c r="C24" s="22"/>
      <c r="D24" s="8">
        <f t="shared" si="5"/>
        <v>115.38170891693859</v>
      </c>
      <c r="E24" s="8">
        <f t="shared" si="1"/>
        <v>136.86358930831449</v>
      </c>
      <c r="F24" s="8">
        <f t="shared" si="2"/>
        <v>116.6409709847495</v>
      </c>
      <c r="G24" s="8">
        <f t="shared" si="3"/>
        <v>148.50833839272954</v>
      </c>
      <c r="H24" s="8">
        <f t="shared" si="4"/>
        <v>136.05430177391423</v>
      </c>
    </row>
    <row r="25" spans="1:8" x14ac:dyDescent="0.2">
      <c r="A25" s="20">
        <f t="shared" si="6"/>
        <v>2.5</v>
      </c>
      <c r="B25" s="21"/>
      <c r="C25" s="22"/>
      <c r="D25" s="8">
        <f t="shared" si="5"/>
        <v>107.31939899347344</v>
      </c>
      <c r="E25" s="8">
        <f t="shared" si="1"/>
        <v>121.82562605841176</v>
      </c>
      <c r="F25" s="8">
        <f t="shared" si="2"/>
        <v>108.07593873214094</v>
      </c>
      <c r="G25" s="8">
        <f t="shared" si="3"/>
        <v>130.760272925002</v>
      </c>
      <c r="H25" s="8">
        <f t="shared" si="4"/>
        <v>121.22834065096225</v>
      </c>
    </row>
    <row r="26" spans="1:8" x14ac:dyDescent="0.2">
      <c r="A26" s="20">
        <f t="shared" si="6"/>
        <v>3</v>
      </c>
      <c r="B26" s="21"/>
      <c r="C26" s="22"/>
      <c r="D26" s="8">
        <f t="shared" si="5"/>
        <v>103.48294210447996</v>
      </c>
      <c r="E26" s="8">
        <f t="shared" si="1"/>
        <v>112.92218044362221</v>
      </c>
      <c r="F26" s="8">
        <f t="shared" si="2"/>
        <v>103.91928971362701</v>
      </c>
      <c r="G26" s="8">
        <f t="shared" si="3"/>
        <v>119.50580914069049</v>
      </c>
      <c r="H26" s="8">
        <f t="shared" si="4"/>
        <v>112.49899248137271</v>
      </c>
    </row>
    <row r="27" spans="1:8" x14ac:dyDescent="0.2">
      <c r="A27" s="20">
        <f t="shared" si="6"/>
        <v>3.5</v>
      </c>
      <c r="B27" s="21"/>
      <c r="C27" s="22"/>
      <c r="D27" s="8">
        <f t="shared" si="5"/>
        <v>101.65736089998319</v>
      </c>
      <c r="E27" s="8">
        <f t="shared" si="1"/>
        <v>107.65076552538002</v>
      </c>
      <c r="F27" s="8">
        <f t="shared" si="2"/>
        <v>101.90204908293929</v>
      </c>
      <c r="G27" s="8">
        <f t="shared" si="3"/>
        <v>112.36909019502855</v>
      </c>
      <c r="H27" s="8">
        <f t="shared" si="4"/>
        <v>107.35925693006673</v>
      </c>
    </row>
    <row r="28" spans="1:8" x14ac:dyDescent="0.2">
      <c r="A28" s="20">
        <f t="shared" si="6"/>
        <v>4</v>
      </c>
      <c r="B28" s="21"/>
      <c r="C28" s="22"/>
      <c r="D28" s="8">
        <f t="shared" si="5"/>
        <v>100.7886565640181</v>
      </c>
      <c r="E28" s="8">
        <f t="shared" si="1"/>
        <v>104.52974738897359</v>
      </c>
      <c r="F28" s="8">
        <f t="shared" si="2"/>
        <v>100.92307305105092</v>
      </c>
      <c r="G28" s="8">
        <f t="shared" si="3"/>
        <v>107.84352964541186</v>
      </c>
      <c r="H28" s="8">
        <f t="shared" si="4"/>
        <v>104.33304225468159</v>
      </c>
    </row>
    <row r="29" spans="1:8" x14ac:dyDescent="0.2">
      <c r="A29" s="20">
        <f t="shared" si="6"/>
        <v>4.5</v>
      </c>
      <c r="B29" s="21"/>
      <c r="C29" s="22"/>
      <c r="D29" s="8">
        <f t="shared" si="5"/>
        <v>100.37528288254848</v>
      </c>
      <c r="E29" s="8">
        <f t="shared" si="1"/>
        <v>102.68190305138046</v>
      </c>
      <c r="F29" s="8">
        <f t="shared" si="2"/>
        <v>100.44797154038724</v>
      </c>
      <c r="G29" s="8">
        <f t="shared" si="3"/>
        <v>104.97376576032904</v>
      </c>
      <c r="H29" s="8">
        <f t="shared" si="4"/>
        <v>102.55124333329748</v>
      </c>
    </row>
    <row r="30" spans="1:8" x14ac:dyDescent="0.2">
      <c r="A30" s="20">
        <f t="shared" si="6"/>
        <v>5</v>
      </c>
      <c r="B30" s="21"/>
      <c r="C30" s="22"/>
      <c r="D30" s="8">
        <f t="shared" si="5"/>
        <v>100.17857867208554</v>
      </c>
      <c r="E30" s="8">
        <f t="shared" si="1"/>
        <v>101.58785984280541</v>
      </c>
      <c r="F30" s="8">
        <f t="shared" si="2"/>
        <v>100.21740262135098</v>
      </c>
      <c r="G30" s="8">
        <f t="shared" si="3"/>
        <v>103.15398130140204</v>
      </c>
      <c r="H30" s="8">
        <f t="shared" si="4"/>
        <v>101.50214148931099</v>
      </c>
    </row>
    <row r="31" spans="1:8" x14ac:dyDescent="0.2">
      <c r="A31" s="20">
        <f t="shared" si="6"/>
        <v>5.5</v>
      </c>
      <c r="B31" s="21"/>
      <c r="C31" s="22"/>
      <c r="D31" s="8">
        <f t="shared" si="5"/>
        <v>100.08497680977952</v>
      </c>
      <c r="E31" s="8">
        <f t="shared" si="1"/>
        <v>100.94011559407274</v>
      </c>
      <c r="F31" s="8">
        <f t="shared" si="2"/>
        <v>100.10550647866921</v>
      </c>
      <c r="G31" s="8">
        <f t="shared" si="3"/>
        <v>102.00001337596879</v>
      </c>
      <c r="H31" s="8">
        <f t="shared" si="4"/>
        <v>100.88444290062799</v>
      </c>
    </row>
    <row r="32" spans="1:8" x14ac:dyDescent="0.2">
      <c r="A32" s="20">
        <f t="shared" si="6"/>
        <v>6</v>
      </c>
      <c r="B32" s="21"/>
      <c r="C32" s="22"/>
      <c r="D32" s="8">
        <f t="shared" si="5"/>
        <v>100.0404362856772</v>
      </c>
      <c r="E32" s="8">
        <f t="shared" si="1"/>
        <v>100.55660915805844</v>
      </c>
      <c r="F32" s="8">
        <f t="shared" si="2"/>
        <v>100.05120277286447</v>
      </c>
      <c r="G32" s="8">
        <f t="shared" si="3"/>
        <v>101.26825530077681</v>
      </c>
      <c r="H32" s="8">
        <f t="shared" si="4"/>
        <v>100.52074937683138</v>
      </c>
    </row>
    <row r="33" spans="1:8" x14ac:dyDescent="0.2">
      <c r="A33" s="20">
        <f t="shared" si="6"/>
        <v>6.5</v>
      </c>
      <c r="B33" s="21"/>
      <c r="C33" s="22"/>
      <c r="D33" s="8">
        <f t="shared" si="5"/>
        <v>100.01924164020291</v>
      </c>
      <c r="E33" s="8">
        <f t="shared" si="1"/>
        <v>100.32954857550268</v>
      </c>
      <c r="F33" s="8">
        <f t="shared" si="2"/>
        <v>100.02484893801859</v>
      </c>
      <c r="G33" s="8">
        <f t="shared" si="3"/>
        <v>100.80423037529404</v>
      </c>
      <c r="H33" s="8">
        <f t="shared" si="4"/>
        <v>100.30661099012465</v>
      </c>
    </row>
    <row r="34" spans="1:8" x14ac:dyDescent="0.2">
      <c r="A34" s="20">
        <f t="shared" si="6"/>
        <v>7</v>
      </c>
      <c r="B34" s="21"/>
      <c r="C34" s="22"/>
      <c r="D34" s="8">
        <f t="shared" si="5"/>
        <v>100.00915615050931</v>
      </c>
      <c r="E34" s="8">
        <f t="shared" si="1"/>
        <v>100.19511404374781</v>
      </c>
      <c r="F34" s="8">
        <f t="shared" si="2"/>
        <v>100.0120593023797</v>
      </c>
      <c r="G34" s="8">
        <f t="shared" si="3"/>
        <v>100.50998130750916</v>
      </c>
      <c r="H34" s="8">
        <f t="shared" si="4"/>
        <v>100.18052887520912</v>
      </c>
    </row>
    <row r="35" spans="1:8" x14ac:dyDescent="0.2">
      <c r="A35" s="20">
        <f t="shared" si="6"/>
        <v>7.5</v>
      </c>
      <c r="B35" s="21"/>
      <c r="C35" s="22"/>
      <c r="D35" s="8">
        <f t="shared" si="5"/>
        <v>100.00435696184239</v>
      </c>
      <c r="E35" s="8">
        <f t="shared" si="1"/>
        <v>100.11552011720747</v>
      </c>
      <c r="F35" s="8">
        <f t="shared" si="2"/>
        <v>100.00585243416745</v>
      </c>
      <c r="G35" s="8">
        <f t="shared" si="3"/>
        <v>100.32339108543826</v>
      </c>
      <c r="H35" s="8">
        <f t="shared" si="4"/>
        <v>100.10629323747013</v>
      </c>
    </row>
    <row r="36" spans="1:8" x14ac:dyDescent="0.2">
      <c r="A36" s="20">
        <f t="shared" si="6"/>
        <v>8</v>
      </c>
      <c r="B36" s="21"/>
      <c r="C36" s="22"/>
      <c r="D36" s="8">
        <f t="shared" si="5"/>
        <v>100.0020732639199</v>
      </c>
      <c r="E36" s="8">
        <f t="shared" si="1"/>
        <v>100.06839537135971</v>
      </c>
      <c r="F36" s="8">
        <f t="shared" si="2"/>
        <v>100.00284021285859</v>
      </c>
      <c r="G36" s="8">
        <f t="shared" si="3"/>
        <v>100.20506985766151</v>
      </c>
      <c r="H36" s="8">
        <f t="shared" si="4"/>
        <v>100.06258418393618</v>
      </c>
    </row>
    <row r="37" spans="1:8" x14ac:dyDescent="0.2">
      <c r="A37" s="20">
        <f>A36+0.5</f>
        <v>8.5</v>
      </c>
      <c r="B37" s="21"/>
      <c r="C37" s="22"/>
      <c r="D37" s="8">
        <f t="shared" si="5"/>
        <v>100.00098656436228</v>
      </c>
      <c r="E37" s="8">
        <f t="shared" si="1"/>
        <v>100.0404944778149</v>
      </c>
      <c r="F37" s="8">
        <f t="shared" si="2"/>
        <v>100.00137836818857</v>
      </c>
      <c r="G37" s="8">
        <f t="shared" si="3"/>
        <v>100.13003959730159</v>
      </c>
      <c r="H37" s="8">
        <f t="shared" si="4"/>
        <v>100.03684881721718</v>
      </c>
    </row>
    <row r="38" spans="1:8" x14ac:dyDescent="0.2">
      <c r="A38" s="20">
        <f t="shared" si="6"/>
        <v>9</v>
      </c>
      <c r="B38" s="21"/>
      <c r="C38" s="22"/>
      <c r="D38" s="8">
        <f t="shared" si="5"/>
        <v>100.00046945747312</v>
      </c>
      <c r="E38" s="8">
        <f t="shared" si="1"/>
        <v>100.02397534659001</v>
      </c>
      <c r="F38" s="8">
        <f t="shared" si="2"/>
        <v>100.00066892833665</v>
      </c>
      <c r="G38" s="8">
        <f t="shared" si="3"/>
        <v>100.0824611527954</v>
      </c>
      <c r="H38" s="8">
        <f t="shared" si="4"/>
        <v>100.02169614181898</v>
      </c>
    </row>
    <row r="39" spans="1:8" x14ac:dyDescent="0.2">
      <c r="A39" s="20">
        <f t="shared" si="6"/>
        <v>9.5</v>
      </c>
      <c r="B39" s="21"/>
      <c r="C39" s="22"/>
      <c r="D39" s="8">
        <f t="shared" si="5"/>
        <v>100.00022339172941</v>
      </c>
      <c r="E39" s="8">
        <f t="shared" si="1"/>
        <v>100.01419495385862</v>
      </c>
      <c r="F39" s="8">
        <f t="shared" si="2"/>
        <v>100.00032463395723</v>
      </c>
      <c r="G39" s="8">
        <f t="shared" si="3"/>
        <v>100.0522905473521</v>
      </c>
      <c r="H39" s="8">
        <f t="shared" si="4"/>
        <v>100.01277442820091</v>
      </c>
    </row>
    <row r="40" spans="1:8" x14ac:dyDescent="0.2">
      <c r="A40" s="20">
        <f t="shared" si="6"/>
        <v>10</v>
      </c>
      <c r="B40" s="21"/>
      <c r="C40" s="22"/>
      <c r="D40" s="8">
        <f t="shared" si="5"/>
        <v>100.00010630114042</v>
      </c>
      <c r="E40" s="8">
        <f t="shared" si="1"/>
        <v>100.00840432960132</v>
      </c>
      <c r="F40" s="8">
        <f t="shared" si="2"/>
        <v>100.00015754633257</v>
      </c>
      <c r="G40" s="8">
        <f t="shared" si="3"/>
        <v>100.03315866016531</v>
      </c>
      <c r="H40" s="8">
        <f t="shared" si="4"/>
        <v>100.00752143017969</v>
      </c>
    </row>
    <row r="42" spans="1:8" x14ac:dyDescent="0.2">
      <c r="A42" s="16" t="s">
        <v>28</v>
      </c>
      <c r="B42" s="16"/>
      <c r="C42" s="16"/>
      <c r="D42" s="1" t="s">
        <v>0</v>
      </c>
    </row>
  </sheetData>
  <mergeCells count="35">
    <mergeCell ref="A4:C4"/>
    <mergeCell ref="A3:C3"/>
    <mergeCell ref="A2:C2"/>
    <mergeCell ref="D18:H18"/>
    <mergeCell ref="A11:C11"/>
    <mergeCell ref="A12:C12"/>
    <mergeCell ref="A13:C13"/>
    <mergeCell ref="A5:C5"/>
    <mergeCell ref="A38:C38"/>
    <mergeCell ref="A39:C39"/>
    <mergeCell ref="A28:C28"/>
    <mergeCell ref="A29:C29"/>
    <mergeCell ref="A30:C30"/>
    <mergeCell ref="A31:C31"/>
    <mergeCell ref="A23:C23"/>
    <mergeCell ref="A24:C24"/>
    <mergeCell ref="A25:C25"/>
    <mergeCell ref="A26:C26"/>
    <mergeCell ref="A27:C27"/>
    <mergeCell ref="A40:C40"/>
    <mergeCell ref="A18:C18"/>
    <mergeCell ref="A42:C42"/>
    <mergeCell ref="A1:C1"/>
    <mergeCell ref="A8:C8"/>
    <mergeCell ref="A16:C16"/>
    <mergeCell ref="A32:C32"/>
    <mergeCell ref="A33:C33"/>
    <mergeCell ref="A34:C34"/>
    <mergeCell ref="A35:C35"/>
    <mergeCell ref="A36:C36"/>
    <mergeCell ref="A37:C37"/>
    <mergeCell ref="A19:C19"/>
    <mergeCell ref="A20:C20"/>
    <mergeCell ref="A21:C21"/>
    <mergeCell ref="A22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1847-6AA8-304E-88E9-23F8C0A41433}">
  <dimension ref="A1:G82"/>
  <sheetViews>
    <sheetView zoomScaleNormal="100" workbookViewId="0">
      <selection sqref="A1:C1"/>
    </sheetView>
  </sheetViews>
  <sheetFormatPr baseColWidth="10" defaultRowHeight="16" x14ac:dyDescent="0.2"/>
  <cols>
    <col min="2" max="3" width="11.6640625" bestFit="1" customWidth="1"/>
  </cols>
  <sheetData>
    <row r="1" spans="1:7" x14ac:dyDescent="0.2">
      <c r="A1" s="16" t="s">
        <v>25</v>
      </c>
      <c r="B1" s="16"/>
      <c r="C1" s="16"/>
    </row>
    <row r="2" spans="1:7" ht="19" x14ac:dyDescent="0.2">
      <c r="A2" s="16" t="s">
        <v>40</v>
      </c>
      <c r="B2" s="16"/>
      <c r="C2" s="16"/>
      <c r="D2" s="2">
        <v>9.81</v>
      </c>
    </row>
    <row r="3" spans="1:7" ht="18" x14ac:dyDescent="0.2">
      <c r="A3" s="16" t="s">
        <v>41</v>
      </c>
      <c r="B3" s="16"/>
      <c r="C3" s="16"/>
      <c r="D3" s="14">
        <v>10</v>
      </c>
    </row>
    <row r="4" spans="1:7" x14ac:dyDescent="0.2">
      <c r="A4" s="16" t="s">
        <v>42</v>
      </c>
      <c r="B4" s="16"/>
      <c r="C4" s="16"/>
      <c r="D4" s="14">
        <v>35</v>
      </c>
    </row>
    <row r="5" spans="1:7" x14ac:dyDescent="0.2">
      <c r="A5" s="16" t="s">
        <v>43</v>
      </c>
      <c r="B5" s="16"/>
      <c r="C5" s="16"/>
      <c r="D5" s="2">
        <v>0.01</v>
      </c>
    </row>
    <row r="6" spans="1:7" ht="18" x14ac:dyDescent="0.2">
      <c r="A6" s="16" t="s">
        <v>44</v>
      </c>
      <c r="B6" s="16"/>
      <c r="C6" s="16"/>
      <c r="D6" s="11">
        <v>1.6767000000000001</v>
      </c>
    </row>
    <row r="8" spans="1:7" x14ac:dyDescent="0.2">
      <c r="A8" s="16" t="s">
        <v>29</v>
      </c>
      <c r="B8" s="16"/>
      <c r="C8" s="16"/>
    </row>
    <row r="10" spans="1:7" ht="18" x14ac:dyDescent="0.2">
      <c r="A10" s="4" t="s">
        <v>5</v>
      </c>
      <c r="B10" s="12" t="s">
        <v>6</v>
      </c>
      <c r="C10" s="12" t="s">
        <v>7</v>
      </c>
      <c r="D10" s="13" t="s">
        <v>45</v>
      </c>
      <c r="E10" s="13" t="s">
        <v>46</v>
      </c>
      <c r="F10" s="15" t="s">
        <v>30</v>
      </c>
      <c r="G10" s="15"/>
    </row>
    <row r="11" spans="1:7" x14ac:dyDescent="0.2">
      <c r="A11" s="4">
        <v>1</v>
      </c>
      <c r="B11" s="5">
        <v>0</v>
      </c>
      <c r="C11" s="7">
        <f>-($D$2*B11*B11)/2+($D$3*SIN(RADIANS($D$4)))*B11</f>
        <v>0</v>
      </c>
      <c r="D11" s="5">
        <f>B12</f>
        <v>0.01</v>
      </c>
      <c r="E11" s="7">
        <f t="shared" ref="C11:E69" si="0">-($D$2*D11*D11)/2+($D$3*SIN(RADIANS($D$4)))*D11</f>
        <v>5.686714363510461E-2</v>
      </c>
      <c r="F11" s="15" t="str">
        <f>IF(E11&lt;$D$6,"not reached",IF(E11&gt;=$D$6,"reached"))</f>
        <v>not reached</v>
      </c>
      <c r="G11" s="15"/>
    </row>
    <row r="12" spans="1:7" x14ac:dyDescent="0.2">
      <c r="A12" s="4">
        <f>A11+1</f>
        <v>2</v>
      </c>
      <c r="B12" s="5">
        <f>B11+0.01</f>
        <v>0.01</v>
      </c>
      <c r="C12" s="7">
        <f t="shared" si="0"/>
        <v>5.686714363510461E-2</v>
      </c>
      <c r="D12" s="5">
        <f t="shared" ref="D12:D67" si="1">B13</f>
        <v>0.02</v>
      </c>
      <c r="E12" s="7">
        <f t="shared" si="0"/>
        <v>0.11275328727020921</v>
      </c>
      <c r="F12" s="15" t="str">
        <f t="shared" ref="F12:F69" si="2">IF(E12&lt;$D$6,"not reached",IF(E12&gt;=$D$6,"reached"))</f>
        <v>not reached</v>
      </c>
      <c r="G12" s="15"/>
    </row>
    <row r="13" spans="1:7" x14ac:dyDescent="0.2">
      <c r="A13" s="4">
        <f t="shared" ref="A13:A69" si="3">A12+1</f>
        <v>3</v>
      </c>
      <c r="B13" s="5">
        <f t="shared" ref="B13:B69" si="4">B12+0.01</f>
        <v>0.02</v>
      </c>
      <c r="C13" s="7">
        <f t="shared" si="0"/>
        <v>0.11275328727020921</v>
      </c>
      <c r="D13" s="5">
        <f t="shared" si="1"/>
        <v>0.03</v>
      </c>
      <c r="E13" s="7">
        <f t="shared" si="0"/>
        <v>0.16765843090531382</v>
      </c>
      <c r="F13" s="15" t="str">
        <f t="shared" si="2"/>
        <v>not reached</v>
      </c>
      <c r="G13" s="15"/>
    </row>
    <row r="14" spans="1:7" x14ac:dyDescent="0.2">
      <c r="A14" s="4">
        <f t="shared" si="3"/>
        <v>4</v>
      </c>
      <c r="B14" s="5">
        <f t="shared" si="4"/>
        <v>0.03</v>
      </c>
      <c r="C14" s="7">
        <f t="shared" si="0"/>
        <v>0.16765843090531382</v>
      </c>
      <c r="D14" s="5">
        <f t="shared" si="1"/>
        <v>0.04</v>
      </c>
      <c r="E14" s="7">
        <f t="shared" si="0"/>
        <v>0.22158257454041844</v>
      </c>
      <c r="F14" s="15" t="str">
        <f t="shared" si="2"/>
        <v>not reached</v>
      </c>
      <c r="G14" s="15"/>
    </row>
    <row r="15" spans="1:7" x14ac:dyDescent="0.2">
      <c r="A15" s="4">
        <f t="shared" si="3"/>
        <v>5</v>
      </c>
      <c r="B15" s="5">
        <f t="shared" si="4"/>
        <v>0.04</v>
      </c>
      <c r="C15" s="7">
        <f t="shared" si="0"/>
        <v>0.22158257454041844</v>
      </c>
      <c r="D15" s="5">
        <f t="shared" si="1"/>
        <v>0.05</v>
      </c>
      <c r="E15" s="7">
        <f t="shared" si="0"/>
        <v>0.27452571817552301</v>
      </c>
      <c r="F15" s="15" t="str">
        <f t="shared" si="2"/>
        <v>not reached</v>
      </c>
      <c r="G15" s="15"/>
    </row>
    <row r="16" spans="1:7" x14ac:dyDescent="0.2">
      <c r="A16" s="4">
        <f t="shared" si="3"/>
        <v>6</v>
      </c>
      <c r="B16" s="5">
        <f t="shared" si="4"/>
        <v>0.05</v>
      </c>
      <c r="C16" s="7">
        <f t="shared" si="0"/>
        <v>0.27452571817552301</v>
      </c>
      <c r="D16" s="5">
        <f t="shared" si="1"/>
        <v>6.0000000000000005E-2</v>
      </c>
      <c r="E16" s="7">
        <f t="shared" si="0"/>
        <v>0.32648786181062767</v>
      </c>
      <c r="F16" s="15" t="str">
        <f t="shared" si="2"/>
        <v>not reached</v>
      </c>
      <c r="G16" s="15"/>
    </row>
    <row r="17" spans="1:7" x14ac:dyDescent="0.2">
      <c r="A17" s="4">
        <f t="shared" si="3"/>
        <v>7</v>
      </c>
      <c r="B17" s="5">
        <f>B16+0.01</f>
        <v>6.0000000000000005E-2</v>
      </c>
      <c r="C17" s="7">
        <f t="shared" si="0"/>
        <v>0.32648786181062767</v>
      </c>
      <c r="D17" s="5">
        <f t="shared" si="1"/>
        <v>7.0000000000000007E-2</v>
      </c>
      <c r="E17" s="7">
        <f t="shared" si="0"/>
        <v>0.37746900544573225</v>
      </c>
      <c r="F17" s="15" t="str">
        <f t="shared" si="2"/>
        <v>not reached</v>
      </c>
      <c r="G17" s="15"/>
    </row>
    <row r="18" spans="1:7" x14ac:dyDescent="0.2">
      <c r="A18" s="4">
        <f t="shared" si="3"/>
        <v>8</v>
      </c>
      <c r="B18" s="5">
        <f t="shared" si="4"/>
        <v>7.0000000000000007E-2</v>
      </c>
      <c r="C18" s="7">
        <f t="shared" si="0"/>
        <v>0.37746900544573225</v>
      </c>
      <c r="D18" s="5">
        <f t="shared" si="1"/>
        <v>0.08</v>
      </c>
      <c r="E18" s="7">
        <f t="shared" si="0"/>
        <v>0.42746914908083689</v>
      </c>
      <c r="F18" s="15" t="str">
        <f t="shared" si="2"/>
        <v>not reached</v>
      </c>
      <c r="G18" s="15"/>
    </row>
    <row r="19" spans="1:7" x14ac:dyDescent="0.2">
      <c r="A19" s="4">
        <f t="shared" si="3"/>
        <v>9</v>
      </c>
      <c r="B19" s="5">
        <f>B18+0.01</f>
        <v>0.08</v>
      </c>
      <c r="C19" s="7">
        <f t="shared" si="0"/>
        <v>0.42746914908083689</v>
      </c>
      <c r="D19" s="5">
        <f t="shared" si="1"/>
        <v>0.09</v>
      </c>
      <c r="E19" s="7">
        <f t="shared" si="0"/>
        <v>0.4764882927159414</v>
      </c>
      <c r="F19" s="15" t="str">
        <f t="shared" si="2"/>
        <v>not reached</v>
      </c>
      <c r="G19" s="15"/>
    </row>
    <row r="20" spans="1:7" x14ac:dyDescent="0.2">
      <c r="A20" s="4">
        <f t="shared" si="3"/>
        <v>10</v>
      </c>
      <c r="B20" s="5">
        <f t="shared" si="4"/>
        <v>0.09</v>
      </c>
      <c r="C20" s="7">
        <f t="shared" si="0"/>
        <v>0.4764882927159414</v>
      </c>
      <c r="D20" s="5">
        <f t="shared" si="1"/>
        <v>9.9999999999999992E-2</v>
      </c>
      <c r="E20" s="7">
        <f t="shared" si="0"/>
        <v>0.52452643635104601</v>
      </c>
      <c r="F20" s="15" t="str">
        <f t="shared" si="2"/>
        <v>not reached</v>
      </c>
      <c r="G20" s="15"/>
    </row>
    <row r="21" spans="1:7" x14ac:dyDescent="0.2">
      <c r="A21" s="4">
        <f t="shared" si="3"/>
        <v>11</v>
      </c>
      <c r="B21" s="5">
        <f t="shared" si="4"/>
        <v>9.9999999999999992E-2</v>
      </c>
      <c r="C21" s="7">
        <f t="shared" si="0"/>
        <v>0.52452643635104601</v>
      </c>
      <c r="D21" s="5">
        <f t="shared" si="1"/>
        <v>0.10999999999999999</v>
      </c>
      <c r="E21" s="7">
        <f t="shared" si="0"/>
        <v>0.57158357998615061</v>
      </c>
      <c r="F21" s="15" t="str">
        <f t="shared" si="2"/>
        <v>not reached</v>
      </c>
      <c r="G21" s="15"/>
    </row>
    <row r="22" spans="1:7" x14ac:dyDescent="0.2">
      <c r="A22" s="4">
        <f t="shared" si="3"/>
        <v>12</v>
      </c>
      <c r="B22" s="5">
        <f t="shared" si="4"/>
        <v>0.10999999999999999</v>
      </c>
      <c r="C22" s="7">
        <f t="shared" si="0"/>
        <v>0.57158357998615061</v>
      </c>
      <c r="D22" s="5">
        <f t="shared" si="1"/>
        <v>0.11999999999999998</v>
      </c>
      <c r="E22" s="7">
        <f t="shared" si="0"/>
        <v>0.6176597236212551</v>
      </c>
      <c r="F22" s="15" t="str">
        <f t="shared" si="2"/>
        <v>not reached</v>
      </c>
      <c r="G22" s="15"/>
    </row>
    <row r="23" spans="1:7" x14ac:dyDescent="0.2">
      <c r="A23" s="4">
        <f t="shared" si="3"/>
        <v>13</v>
      </c>
      <c r="B23" s="5">
        <f t="shared" si="4"/>
        <v>0.11999999999999998</v>
      </c>
      <c r="C23" s="7">
        <f t="shared" si="0"/>
        <v>0.6176597236212551</v>
      </c>
      <c r="D23" s="5">
        <f t="shared" si="1"/>
        <v>0.12999999999999998</v>
      </c>
      <c r="E23" s="7">
        <f t="shared" si="0"/>
        <v>0.66275486725635979</v>
      </c>
      <c r="F23" s="15" t="str">
        <f t="shared" si="2"/>
        <v>not reached</v>
      </c>
      <c r="G23" s="15"/>
    </row>
    <row r="24" spans="1:7" x14ac:dyDescent="0.2">
      <c r="A24" s="4">
        <f t="shared" si="3"/>
        <v>14</v>
      </c>
      <c r="B24" s="5">
        <f t="shared" si="4"/>
        <v>0.12999999999999998</v>
      </c>
      <c r="C24" s="7">
        <f t="shared" si="0"/>
        <v>0.66275486725635979</v>
      </c>
      <c r="D24" s="5">
        <f t="shared" si="1"/>
        <v>0.13999999999999999</v>
      </c>
      <c r="E24" s="7">
        <f t="shared" si="0"/>
        <v>0.70686901089146448</v>
      </c>
      <c r="F24" s="15" t="str">
        <f t="shared" si="2"/>
        <v>not reached</v>
      </c>
      <c r="G24" s="15"/>
    </row>
    <row r="25" spans="1:7" x14ac:dyDescent="0.2">
      <c r="A25" s="4">
        <f t="shared" si="3"/>
        <v>15</v>
      </c>
      <c r="B25" s="5">
        <f t="shared" si="4"/>
        <v>0.13999999999999999</v>
      </c>
      <c r="C25" s="7">
        <f t="shared" si="0"/>
        <v>0.70686901089146448</v>
      </c>
      <c r="D25" s="5">
        <f t="shared" si="1"/>
        <v>0.15</v>
      </c>
      <c r="E25" s="7">
        <f t="shared" si="0"/>
        <v>0.75000215452656904</v>
      </c>
      <c r="F25" s="15" t="str">
        <f t="shared" si="2"/>
        <v>not reached</v>
      </c>
      <c r="G25" s="15"/>
    </row>
    <row r="26" spans="1:7" x14ac:dyDescent="0.2">
      <c r="A26" s="4">
        <f t="shared" si="3"/>
        <v>16</v>
      </c>
      <c r="B26" s="5">
        <f t="shared" si="4"/>
        <v>0.15</v>
      </c>
      <c r="C26" s="7">
        <f t="shared" si="0"/>
        <v>0.75000215452656904</v>
      </c>
      <c r="D26" s="5">
        <f t="shared" si="1"/>
        <v>0.16</v>
      </c>
      <c r="E26" s="7">
        <f t="shared" si="0"/>
        <v>0.79215429816167371</v>
      </c>
      <c r="F26" s="15" t="str">
        <f t="shared" si="2"/>
        <v>not reached</v>
      </c>
      <c r="G26" s="15"/>
    </row>
    <row r="27" spans="1:7" x14ac:dyDescent="0.2">
      <c r="A27" s="4">
        <f t="shared" si="3"/>
        <v>17</v>
      </c>
      <c r="B27" s="5">
        <f t="shared" si="4"/>
        <v>0.16</v>
      </c>
      <c r="C27" s="7">
        <f t="shared" si="0"/>
        <v>0.79215429816167371</v>
      </c>
      <c r="D27" s="5">
        <f t="shared" si="1"/>
        <v>0.17</v>
      </c>
      <c r="E27" s="7">
        <f t="shared" si="0"/>
        <v>0.83332544179677837</v>
      </c>
      <c r="F27" s="15" t="str">
        <f t="shared" si="2"/>
        <v>not reached</v>
      </c>
      <c r="G27" s="15"/>
    </row>
    <row r="28" spans="1:7" x14ac:dyDescent="0.2">
      <c r="A28" s="4">
        <f t="shared" si="3"/>
        <v>18</v>
      </c>
      <c r="B28" s="5">
        <f t="shared" si="4"/>
        <v>0.17</v>
      </c>
      <c r="C28" s="7">
        <f t="shared" si="0"/>
        <v>0.83332544179677837</v>
      </c>
      <c r="D28" s="5">
        <f t="shared" si="1"/>
        <v>0.18000000000000002</v>
      </c>
      <c r="E28" s="7">
        <f t="shared" si="0"/>
        <v>0.87351558543188301</v>
      </c>
      <c r="F28" s="15" t="str">
        <f t="shared" si="2"/>
        <v>not reached</v>
      </c>
      <c r="G28" s="15"/>
    </row>
    <row r="29" spans="1:7" x14ac:dyDescent="0.2">
      <c r="A29" s="4">
        <f t="shared" si="3"/>
        <v>19</v>
      </c>
      <c r="B29" s="5">
        <f t="shared" si="4"/>
        <v>0.18000000000000002</v>
      </c>
      <c r="C29" s="7">
        <f t="shared" si="0"/>
        <v>0.87351558543188301</v>
      </c>
      <c r="D29" s="5">
        <f t="shared" si="1"/>
        <v>0.19000000000000003</v>
      </c>
      <c r="E29" s="7">
        <f t="shared" si="0"/>
        <v>0.91272472906698765</v>
      </c>
      <c r="F29" s="15" t="str">
        <f t="shared" si="2"/>
        <v>not reached</v>
      </c>
      <c r="G29" s="15"/>
    </row>
    <row r="30" spans="1:7" x14ac:dyDescent="0.2">
      <c r="A30" s="4">
        <f t="shared" si="3"/>
        <v>20</v>
      </c>
      <c r="B30" s="5">
        <f t="shared" si="4"/>
        <v>0.19000000000000003</v>
      </c>
      <c r="C30" s="7">
        <f t="shared" si="0"/>
        <v>0.91272472906698765</v>
      </c>
      <c r="D30" s="5">
        <f t="shared" si="1"/>
        <v>0.20000000000000004</v>
      </c>
      <c r="E30" s="7">
        <f t="shared" si="0"/>
        <v>0.95095287270209228</v>
      </c>
      <c r="F30" s="15" t="str">
        <f t="shared" si="2"/>
        <v>not reached</v>
      </c>
      <c r="G30" s="15"/>
    </row>
    <row r="31" spans="1:7" x14ac:dyDescent="0.2">
      <c r="A31" s="4">
        <f t="shared" si="3"/>
        <v>21</v>
      </c>
      <c r="B31" s="5">
        <f t="shared" si="4"/>
        <v>0.20000000000000004</v>
      </c>
      <c r="C31" s="7">
        <f t="shared" si="0"/>
        <v>0.95095287270209228</v>
      </c>
      <c r="D31" s="5">
        <f t="shared" si="1"/>
        <v>0.21000000000000005</v>
      </c>
      <c r="E31" s="7">
        <f t="shared" si="0"/>
        <v>0.9882000163371969</v>
      </c>
      <c r="F31" s="15" t="str">
        <f t="shared" si="2"/>
        <v>not reached</v>
      </c>
      <c r="G31" s="15"/>
    </row>
    <row r="32" spans="1:7" x14ac:dyDescent="0.2">
      <c r="A32" s="4">
        <f t="shared" si="3"/>
        <v>22</v>
      </c>
      <c r="B32" s="5">
        <f t="shared" si="4"/>
        <v>0.21000000000000005</v>
      </c>
      <c r="C32" s="7">
        <f t="shared" si="0"/>
        <v>0.9882000163371969</v>
      </c>
      <c r="D32" s="5">
        <f t="shared" si="1"/>
        <v>0.22000000000000006</v>
      </c>
      <c r="E32" s="7">
        <f t="shared" si="0"/>
        <v>1.0244661599723015</v>
      </c>
      <c r="F32" s="15" t="str">
        <f t="shared" si="2"/>
        <v>not reached</v>
      </c>
      <c r="G32" s="15"/>
    </row>
    <row r="33" spans="1:7" x14ac:dyDescent="0.2">
      <c r="A33" s="4">
        <f t="shared" si="3"/>
        <v>23</v>
      </c>
      <c r="B33" s="5">
        <f t="shared" si="4"/>
        <v>0.22000000000000006</v>
      </c>
      <c r="C33" s="7">
        <f t="shared" si="0"/>
        <v>1.0244661599723015</v>
      </c>
      <c r="D33" s="5">
        <f t="shared" si="1"/>
        <v>0.23000000000000007</v>
      </c>
      <c r="E33" s="7">
        <f t="shared" si="0"/>
        <v>1.0597513036074062</v>
      </c>
      <c r="F33" s="15" t="str">
        <f t="shared" si="2"/>
        <v>not reached</v>
      </c>
      <c r="G33" s="15"/>
    </row>
    <row r="34" spans="1:7" x14ac:dyDescent="0.2">
      <c r="A34" s="4">
        <f t="shared" si="3"/>
        <v>24</v>
      </c>
      <c r="B34" s="5">
        <f t="shared" si="4"/>
        <v>0.23000000000000007</v>
      </c>
      <c r="C34" s="7">
        <f t="shared" si="0"/>
        <v>1.0597513036074062</v>
      </c>
      <c r="D34" s="5">
        <f t="shared" si="1"/>
        <v>0.24000000000000007</v>
      </c>
      <c r="E34" s="7">
        <f t="shared" si="0"/>
        <v>1.0940554472425106</v>
      </c>
      <c r="F34" s="15" t="str">
        <f t="shared" si="2"/>
        <v>not reached</v>
      </c>
      <c r="G34" s="15"/>
    </row>
    <row r="35" spans="1:7" x14ac:dyDescent="0.2">
      <c r="A35" s="4">
        <f t="shared" si="3"/>
        <v>25</v>
      </c>
      <c r="B35" s="5">
        <f t="shared" si="4"/>
        <v>0.24000000000000007</v>
      </c>
      <c r="C35" s="7">
        <f t="shared" si="0"/>
        <v>1.0940554472425106</v>
      </c>
      <c r="D35" s="5">
        <f t="shared" si="1"/>
        <v>0.25000000000000006</v>
      </c>
      <c r="E35" s="7">
        <f t="shared" si="0"/>
        <v>1.1273785908776153</v>
      </c>
      <c r="F35" s="15" t="str">
        <f t="shared" si="2"/>
        <v>not reached</v>
      </c>
      <c r="G35" s="15"/>
    </row>
    <row r="36" spans="1:7" x14ac:dyDescent="0.2">
      <c r="A36" s="4">
        <f t="shared" si="3"/>
        <v>26</v>
      </c>
      <c r="B36" s="5">
        <f t="shared" si="4"/>
        <v>0.25000000000000006</v>
      </c>
      <c r="C36" s="7">
        <f t="shared" si="0"/>
        <v>1.1273785908776153</v>
      </c>
      <c r="D36" s="5">
        <f t="shared" si="1"/>
        <v>0.26000000000000006</v>
      </c>
      <c r="E36" s="7">
        <f t="shared" si="0"/>
        <v>1.1597207345127198</v>
      </c>
      <c r="F36" s="15" t="str">
        <f t="shared" si="2"/>
        <v>not reached</v>
      </c>
      <c r="G36" s="15"/>
    </row>
    <row r="37" spans="1:7" x14ac:dyDescent="0.2">
      <c r="A37" s="4">
        <f t="shared" si="3"/>
        <v>27</v>
      </c>
      <c r="B37" s="5">
        <f t="shared" si="4"/>
        <v>0.26000000000000006</v>
      </c>
      <c r="C37" s="7">
        <f t="shared" si="0"/>
        <v>1.1597207345127198</v>
      </c>
      <c r="D37" s="5">
        <f t="shared" si="1"/>
        <v>0.27000000000000007</v>
      </c>
      <c r="E37" s="7">
        <f t="shared" si="0"/>
        <v>1.1910818781478245</v>
      </c>
      <c r="F37" s="15" t="str">
        <f t="shared" si="2"/>
        <v>not reached</v>
      </c>
      <c r="G37" s="15"/>
    </row>
    <row r="38" spans="1:7" x14ac:dyDescent="0.2">
      <c r="A38" s="4">
        <f t="shared" si="3"/>
        <v>28</v>
      </c>
      <c r="B38" s="5">
        <f t="shared" si="4"/>
        <v>0.27000000000000007</v>
      </c>
      <c r="C38" s="7">
        <f t="shared" si="0"/>
        <v>1.1910818781478245</v>
      </c>
      <c r="D38" s="5">
        <f t="shared" si="1"/>
        <v>0.28000000000000008</v>
      </c>
      <c r="E38" s="7">
        <f t="shared" si="0"/>
        <v>1.2214620217829293</v>
      </c>
      <c r="F38" s="15" t="str">
        <f t="shared" si="2"/>
        <v>not reached</v>
      </c>
      <c r="G38" s="15"/>
    </row>
    <row r="39" spans="1:7" x14ac:dyDescent="0.2">
      <c r="A39" s="4">
        <f t="shared" si="3"/>
        <v>29</v>
      </c>
      <c r="B39" s="5">
        <f t="shared" si="4"/>
        <v>0.28000000000000008</v>
      </c>
      <c r="C39" s="7">
        <f t="shared" si="0"/>
        <v>1.2214620217829293</v>
      </c>
      <c r="D39" s="5">
        <f t="shared" si="1"/>
        <v>0.29000000000000009</v>
      </c>
      <c r="E39" s="7">
        <f t="shared" si="0"/>
        <v>1.2508611654180339</v>
      </c>
      <c r="F39" s="15" t="str">
        <f t="shared" si="2"/>
        <v>not reached</v>
      </c>
      <c r="G39" s="15"/>
    </row>
    <row r="40" spans="1:7" x14ac:dyDescent="0.2">
      <c r="A40" s="4">
        <f t="shared" si="3"/>
        <v>30</v>
      </c>
      <c r="B40" s="5">
        <f t="shared" si="4"/>
        <v>0.29000000000000009</v>
      </c>
      <c r="C40" s="7">
        <f t="shared" si="0"/>
        <v>1.2508611654180339</v>
      </c>
      <c r="D40" s="5">
        <f t="shared" si="1"/>
        <v>0.3000000000000001</v>
      </c>
      <c r="E40" s="7">
        <f t="shared" si="0"/>
        <v>1.2792793090531385</v>
      </c>
      <c r="F40" s="15" t="str">
        <f t="shared" si="2"/>
        <v>not reached</v>
      </c>
      <c r="G40" s="15"/>
    </row>
    <row r="41" spans="1:7" x14ac:dyDescent="0.2">
      <c r="A41" s="4">
        <f t="shared" si="3"/>
        <v>31</v>
      </c>
      <c r="B41" s="5">
        <f t="shared" si="4"/>
        <v>0.3000000000000001</v>
      </c>
      <c r="C41" s="7">
        <f t="shared" si="0"/>
        <v>1.2792793090531385</v>
      </c>
      <c r="D41" s="5">
        <f t="shared" si="1"/>
        <v>0.31000000000000011</v>
      </c>
      <c r="E41" s="7">
        <f t="shared" si="0"/>
        <v>1.3067164526882431</v>
      </c>
      <c r="F41" s="15" t="str">
        <f t="shared" si="2"/>
        <v>not reached</v>
      </c>
      <c r="G41" s="15"/>
    </row>
    <row r="42" spans="1:7" x14ac:dyDescent="0.2">
      <c r="A42" s="4">
        <f t="shared" si="3"/>
        <v>32</v>
      </c>
      <c r="B42" s="5">
        <f t="shared" si="4"/>
        <v>0.31000000000000011</v>
      </c>
      <c r="C42" s="7">
        <f t="shared" si="0"/>
        <v>1.3067164526882431</v>
      </c>
      <c r="D42" s="5">
        <f t="shared" si="1"/>
        <v>0.32000000000000012</v>
      </c>
      <c r="E42" s="7">
        <f t="shared" si="0"/>
        <v>1.3331725963233478</v>
      </c>
      <c r="F42" s="15" t="str">
        <f t="shared" si="2"/>
        <v>not reached</v>
      </c>
      <c r="G42" s="15"/>
    </row>
    <row r="43" spans="1:7" x14ac:dyDescent="0.2">
      <c r="A43" s="4">
        <f t="shared" si="3"/>
        <v>33</v>
      </c>
      <c r="B43" s="5">
        <f t="shared" si="4"/>
        <v>0.32000000000000012</v>
      </c>
      <c r="C43" s="7">
        <f t="shared" si="0"/>
        <v>1.3331725963233478</v>
      </c>
      <c r="D43" s="5">
        <f t="shared" si="1"/>
        <v>0.33000000000000013</v>
      </c>
      <c r="E43" s="7">
        <f t="shared" si="0"/>
        <v>1.3586477399584522</v>
      </c>
      <c r="F43" s="15" t="str">
        <f t="shared" si="2"/>
        <v>not reached</v>
      </c>
      <c r="G43" s="15"/>
    </row>
    <row r="44" spans="1:7" x14ac:dyDescent="0.2">
      <c r="A44" s="4">
        <f t="shared" si="3"/>
        <v>34</v>
      </c>
      <c r="B44" s="5">
        <f t="shared" si="4"/>
        <v>0.33000000000000013</v>
      </c>
      <c r="C44" s="7">
        <f t="shared" si="0"/>
        <v>1.3586477399584522</v>
      </c>
      <c r="D44" s="5">
        <f t="shared" si="1"/>
        <v>0.34000000000000014</v>
      </c>
      <c r="E44" s="7">
        <f t="shared" si="0"/>
        <v>1.3831418835935569</v>
      </c>
      <c r="F44" s="15" t="str">
        <f t="shared" si="2"/>
        <v>not reached</v>
      </c>
      <c r="G44" s="15"/>
    </row>
    <row r="45" spans="1:7" x14ac:dyDescent="0.2">
      <c r="A45" s="4">
        <f t="shared" si="3"/>
        <v>35</v>
      </c>
      <c r="B45" s="5">
        <f t="shared" si="4"/>
        <v>0.34000000000000014</v>
      </c>
      <c r="C45" s="7">
        <f t="shared" si="0"/>
        <v>1.3831418835935569</v>
      </c>
      <c r="D45" s="5">
        <f t="shared" si="1"/>
        <v>0.35000000000000014</v>
      </c>
      <c r="E45" s="7">
        <f t="shared" si="0"/>
        <v>1.4066550272286615</v>
      </c>
      <c r="F45" s="15" t="str">
        <f t="shared" si="2"/>
        <v>not reached</v>
      </c>
      <c r="G45" s="15"/>
    </row>
    <row r="46" spans="1:7" x14ac:dyDescent="0.2">
      <c r="A46" s="4">
        <f t="shared" si="3"/>
        <v>36</v>
      </c>
      <c r="B46" s="5">
        <f t="shared" si="4"/>
        <v>0.35000000000000014</v>
      </c>
      <c r="C46" s="7">
        <f t="shared" si="0"/>
        <v>1.4066550272286615</v>
      </c>
      <c r="D46" s="5">
        <f t="shared" si="1"/>
        <v>0.36000000000000015</v>
      </c>
      <c r="E46" s="7">
        <f t="shared" si="0"/>
        <v>1.429187170863766</v>
      </c>
      <c r="F46" s="15" t="str">
        <f t="shared" si="2"/>
        <v>not reached</v>
      </c>
      <c r="G46" s="15"/>
    </row>
    <row r="47" spans="1:7" x14ac:dyDescent="0.2">
      <c r="A47" s="4">
        <f t="shared" si="3"/>
        <v>37</v>
      </c>
      <c r="B47" s="5">
        <f t="shared" si="4"/>
        <v>0.36000000000000015</v>
      </c>
      <c r="C47" s="7">
        <f t="shared" si="0"/>
        <v>1.429187170863766</v>
      </c>
      <c r="D47" s="5">
        <f t="shared" si="1"/>
        <v>0.37000000000000016</v>
      </c>
      <c r="E47" s="7">
        <f t="shared" si="0"/>
        <v>1.4507383144988708</v>
      </c>
      <c r="F47" s="15" t="str">
        <f t="shared" si="2"/>
        <v>not reached</v>
      </c>
      <c r="G47" s="15"/>
    </row>
    <row r="48" spans="1:7" x14ac:dyDescent="0.2">
      <c r="A48" s="4">
        <f t="shared" si="3"/>
        <v>38</v>
      </c>
      <c r="B48" s="5">
        <f t="shared" si="4"/>
        <v>0.37000000000000016</v>
      </c>
      <c r="C48" s="7">
        <f t="shared" si="0"/>
        <v>1.4507383144988708</v>
      </c>
      <c r="D48" s="5">
        <f t="shared" si="1"/>
        <v>0.38000000000000017</v>
      </c>
      <c r="E48" s="7">
        <f t="shared" si="0"/>
        <v>1.471308458133975</v>
      </c>
      <c r="F48" s="15" t="str">
        <f t="shared" si="2"/>
        <v>not reached</v>
      </c>
      <c r="G48" s="15"/>
    </row>
    <row r="49" spans="1:7" x14ac:dyDescent="0.2">
      <c r="A49" s="4">
        <f t="shared" si="3"/>
        <v>39</v>
      </c>
      <c r="B49" s="5">
        <f t="shared" si="4"/>
        <v>0.38000000000000017</v>
      </c>
      <c r="C49" s="7">
        <f t="shared" si="0"/>
        <v>1.471308458133975</v>
      </c>
      <c r="D49" s="5">
        <f t="shared" si="1"/>
        <v>0.39000000000000018</v>
      </c>
      <c r="E49" s="7">
        <f t="shared" si="0"/>
        <v>1.4908976017690798</v>
      </c>
      <c r="F49" s="15" t="str">
        <f t="shared" si="2"/>
        <v>not reached</v>
      </c>
      <c r="G49" s="15"/>
    </row>
    <row r="50" spans="1:7" x14ac:dyDescent="0.2">
      <c r="A50" s="4">
        <f t="shared" si="3"/>
        <v>40</v>
      </c>
      <c r="B50" s="5">
        <f t="shared" si="4"/>
        <v>0.39000000000000018</v>
      </c>
      <c r="C50" s="7">
        <f t="shared" si="0"/>
        <v>1.4908976017690798</v>
      </c>
      <c r="D50" s="5">
        <f t="shared" si="1"/>
        <v>0.40000000000000019</v>
      </c>
      <c r="E50" s="7">
        <f t="shared" si="0"/>
        <v>1.5095057454041843</v>
      </c>
      <c r="F50" s="15" t="str">
        <f t="shared" si="2"/>
        <v>not reached</v>
      </c>
      <c r="G50" s="15"/>
    </row>
    <row r="51" spans="1:7" x14ac:dyDescent="0.2">
      <c r="A51" s="4">
        <f t="shared" si="3"/>
        <v>41</v>
      </c>
      <c r="B51" s="5">
        <f t="shared" si="4"/>
        <v>0.40000000000000019</v>
      </c>
      <c r="C51" s="7">
        <f t="shared" si="0"/>
        <v>1.5095057454041843</v>
      </c>
      <c r="D51" s="5">
        <f t="shared" si="1"/>
        <v>0.4100000000000002</v>
      </c>
      <c r="E51" s="7">
        <f t="shared" si="0"/>
        <v>1.5271328890392892</v>
      </c>
      <c r="F51" s="15" t="str">
        <f t="shared" si="2"/>
        <v>not reached</v>
      </c>
      <c r="G51" s="15"/>
    </row>
    <row r="52" spans="1:7" x14ac:dyDescent="0.2">
      <c r="A52" s="4">
        <f t="shared" si="3"/>
        <v>42</v>
      </c>
      <c r="B52" s="5">
        <f t="shared" si="4"/>
        <v>0.4100000000000002</v>
      </c>
      <c r="C52" s="7">
        <f t="shared" si="0"/>
        <v>1.5271328890392892</v>
      </c>
      <c r="D52" s="5">
        <f t="shared" si="1"/>
        <v>0.42000000000000021</v>
      </c>
      <c r="E52" s="7">
        <f t="shared" si="0"/>
        <v>1.5437790326743934</v>
      </c>
      <c r="F52" s="15" t="str">
        <f t="shared" si="2"/>
        <v>not reached</v>
      </c>
      <c r="G52" s="15"/>
    </row>
    <row r="53" spans="1:7" x14ac:dyDescent="0.2">
      <c r="A53" s="4">
        <f t="shared" si="3"/>
        <v>43</v>
      </c>
      <c r="B53" s="5">
        <f t="shared" si="4"/>
        <v>0.42000000000000021</v>
      </c>
      <c r="C53" s="7">
        <f t="shared" si="0"/>
        <v>1.5437790326743934</v>
      </c>
      <c r="D53" s="5">
        <f t="shared" si="1"/>
        <v>0.43000000000000022</v>
      </c>
      <c r="E53" s="7">
        <f t="shared" si="0"/>
        <v>1.5594441763094984</v>
      </c>
      <c r="F53" s="15" t="str">
        <f t="shared" si="2"/>
        <v>not reached</v>
      </c>
      <c r="G53" s="15"/>
    </row>
    <row r="54" spans="1:7" x14ac:dyDescent="0.2">
      <c r="A54" s="4">
        <f t="shared" si="3"/>
        <v>44</v>
      </c>
      <c r="B54" s="5">
        <f t="shared" si="4"/>
        <v>0.43000000000000022</v>
      </c>
      <c r="C54" s="7">
        <f t="shared" si="0"/>
        <v>1.5594441763094984</v>
      </c>
      <c r="D54" s="5">
        <f t="shared" si="1"/>
        <v>0.44000000000000022</v>
      </c>
      <c r="E54" s="7">
        <f t="shared" si="0"/>
        <v>1.5741283199446028</v>
      </c>
      <c r="F54" s="15" t="str">
        <f t="shared" si="2"/>
        <v>not reached</v>
      </c>
      <c r="G54" s="15"/>
    </row>
    <row r="55" spans="1:7" x14ac:dyDescent="0.2">
      <c r="A55" s="4">
        <f t="shared" si="3"/>
        <v>45</v>
      </c>
      <c r="B55" s="5">
        <f t="shared" si="4"/>
        <v>0.44000000000000022</v>
      </c>
      <c r="C55" s="7">
        <f t="shared" si="0"/>
        <v>1.5741283199446028</v>
      </c>
      <c r="D55" s="5">
        <f t="shared" si="1"/>
        <v>0.45000000000000023</v>
      </c>
      <c r="E55" s="7">
        <f t="shared" si="0"/>
        <v>1.5878314635797075</v>
      </c>
      <c r="F55" s="15" t="str">
        <f t="shared" si="2"/>
        <v>not reached</v>
      </c>
      <c r="G55" s="15"/>
    </row>
    <row r="56" spans="1:7" x14ac:dyDescent="0.2">
      <c r="A56" s="4">
        <f t="shared" si="3"/>
        <v>46</v>
      </c>
      <c r="B56" s="5">
        <f t="shared" si="4"/>
        <v>0.45000000000000023</v>
      </c>
      <c r="C56" s="7">
        <f t="shared" si="0"/>
        <v>1.5878314635797075</v>
      </c>
      <c r="D56" s="5">
        <f t="shared" si="1"/>
        <v>0.46000000000000024</v>
      </c>
      <c r="E56" s="7">
        <f t="shared" si="0"/>
        <v>1.6005536072148123</v>
      </c>
      <c r="F56" s="15" t="str">
        <f t="shared" si="2"/>
        <v>not reached</v>
      </c>
      <c r="G56" s="15"/>
    </row>
    <row r="57" spans="1:7" x14ac:dyDescent="0.2">
      <c r="A57" s="4">
        <f t="shared" si="3"/>
        <v>47</v>
      </c>
      <c r="B57" s="5">
        <f t="shared" si="4"/>
        <v>0.46000000000000024</v>
      </c>
      <c r="C57" s="7">
        <f t="shared" si="0"/>
        <v>1.6005536072148123</v>
      </c>
      <c r="D57" s="5">
        <f t="shared" si="1"/>
        <v>0.47000000000000025</v>
      </c>
      <c r="E57" s="7">
        <f t="shared" si="0"/>
        <v>1.6122947508499166</v>
      </c>
      <c r="F57" s="15" t="str">
        <f t="shared" si="2"/>
        <v>not reached</v>
      </c>
      <c r="G57" s="15"/>
    </row>
    <row r="58" spans="1:7" x14ac:dyDescent="0.2">
      <c r="A58" s="4">
        <f t="shared" si="3"/>
        <v>48</v>
      </c>
      <c r="B58" s="5">
        <f t="shared" si="4"/>
        <v>0.47000000000000025</v>
      </c>
      <c r="C58" s="7">
        <f t="shared" si="0"/>
        <v>1.6122947508499166</v>
      </c>
      <c r="D58" s="5">
        <f t="shared" si="1"/>
        <v>0.48000000000000026</v>
      </c>
      <c r="E58" s="7">
        <f t="shared" si="0"/>
        <v>1.6230548944850214</v>
      </c>
      <c r="F58" s="15" t="str">
        <f t="shared" si="2"/>
        <v>not reached</v>
      </c>
      <c r="G58" s="15"/>
    </row>
    <row r="59" spans="1:7" x14ac:dyDescent="0.2">
      <c r="A59" s="4">
        <f t="shared" si="3"/>
        <v>49</v>
      </c>
      <c r="B59" s="5">
        <f t="shared" si="4"/>
        <v>0.48000000000000026</v>
      </c>
      <c r="C59" s="7">
        <f t="shared" si="0"/>
        <v>1.6230548944850214</v>
      </c>
      <c r="D59" s="5">
        <f t="shared" si="1"/>
        <v>0.49000000000000027</v>
      </c>
      <c r="E59" s="7">
        <f t="shared" si="0"/>
        <v>1.6328340381201256</v>
      </c>
      <c r="F59" s="15" t="str">
        <f t="shared" si="2"/>
        <v>not reached</v>
      </c>
      <c r="G59" s="15"/>
    </row>
    <row r="60" spans="1:7" x14ac:dyDescent="0.2">
      <c r="A60" s="4">
        <f t="shared" si="3"/>
        <v>50</v>
      </c>
      <c r="B60" s="5">
        <f t="shared" si="4"/>
        <v>0.49000000000000027</v>
      </c>
      <c r="C60" s="7">
        <f t="shared" si="0"/>
        <v>1.6328340381201256</v>
      </c>
      <c r="D60" s="5">
        <f t="shared" si="1"/>
        <v>0.50000000000000022</v>
      </c>
      <c r="E60" s="7">
        <f t="shared" si="0"/>
        <v>1.6416321817552306</v>
      </c>
      <c r="F60" s="15" t="str">
        <f t="shared" si="2"/>
        <v>not reached</v>
      </c>
      <c r="G60" s="15"/>
    </row>
    <row r="61" spans="1:7" x14ac:dyDescent="0.2">
      <c r="A61" s="4">
        <f t="shared" si="3"/>
        <v>51</v>
      </c>
      <c r="B61" s="5">
        <f t="shared" si="4"/>
        <v>0.50000000000000022</v>
      </c>
      <c r="C61" s="7">
        <f t="shared" si="0"/>
        <v>1.6416321817552306</v>
      </c>
      <c r="D61" s="5">
        <f t="shared" si="1"/>
        <v>0.51000000000000023</v>
      </c>
      <c r="E61" s="7">
        <f t="shared" si="0"/>
        <v>1.6494493253903348</v>
      </c>
      <c r="F61" s="15" t="str">
        <f t="shared" si="2"/>
        <v>not reached</v>
      </c>
      <c r="G61" s="15"/>
    </row>
    <row r="62" spans="1:7" x14ac:dyDescent="0.2">
      <c r="A62" s="4">
        <f t="shared" si="3"/>
        <v>52</v>
      </c>
      <c r="B62" s="5">
        <f t="shared" si="4"/>
        <v>0.51000000000000023</v>
      </c>
      <c r="C62" s="7">
        <f t="shared" si="0"/>
        <v>1.6494493253903348</v>
      </c>
      <c r="D62" s="5">
        <f t="shared" si="1"/>
        <v>0.52000000000000024</v>
      </c>
      <c r="E62" s="7">
        <f t="shared" si="0"/>
        <v>1.6562854690254396</v>
      </c>
      <c r="F62" s="15" t="str">
        <f t="shared" si="2"/>
        <v>not reached</v>
      </c>
      <c r="G62" s="15"/>
    </row>
    <row r="63" spans="1:7" x14ac:dyDescent="0.2">
      <c r="A63" s="4">
        <f t="shared" si="3"/>
        <v>53</v>
      </c>
      <c r="B63" s="5">
        <f t="shared" si="4"/>
        <v>0.52000000000000024</v>
      </c>
      <c r="C63" s="7">
        <f t="shared" si="0"/>
        <v>1.6562854690254396</v>
      </c>
      <c r="D63" s="5">
        <f t="shared" si="1"/>
        <v>0.53000000000000025</v>
      </c>
      <c r="E63" s="7">
        <f t="shared" si="0"/>
        <v>1.662140612660544</v>
      </c>
      <c r="F63" s="15" t="str">
        <f t="shared" si="2"/>
        <v>not reached</v>
      </c>
      <c r="G63" s="15"/>
    </row>
    <row r="64" spans="1:7" x14ac:dyDescent="0.2">
      <c r="A64" s="4">
        <f t="shared" si="3"/>
        <v>54</v>
      </c>
      <c r="B64" s="5">
        <f t="shared" si="4"/>
        <v>0.53000000000000025</v>
      </c>
      <c r="C64" s="7">
        <f t="shared" si="0"/>
        <v>1.662140612660544</v>
      </c>
      <c r="D64" s="5">
        <f t="shared" si="1"/>
        <v>0.54000000000000026</v>
      </c>
      <c r="E64" s="7">
        <f t="shared" si="0"/>
        <v>1.6670147562956485</v>
      </c>
      <c r="F64" s="15" t="str">
        <f t="shared" si="2"/>
        <v>not reached</v>
      </c>
      <c r="G64" s="15"/>
    </row>
    <row r="65" spans="1:7" x14ac:dyDescent="0.2">
      <c r="A65" s="4">
        <f t="shared" si="3"/>
        <v>55</v>
      </c>
      <c r="B65" s="5">
        <f t="shared" si="4"/>
        <v>0.54000000000000026</v>
      </c>
      <c r="C65" s="7">
        <f t="shared" si="0"/>
        <v>1.6670147562956485</v>
      </c>
      <c r="D65" s="5">
        <f t="shared" si="1"/>
        <v>0.55000000000000027</v>
      </c>
      <c r="E65" s="7">
        <f t="shared" si="0"/>
        <v>1.6709078999307532</v>
      </c>
      <c r="F65" s="15" t="str">
        <f t="shared" si="2"/>
        <v>not reached</v>
      </c>
      <c r="G65" s="15"/>
    </row>
    <row r="66" spans="1:7" x14ac:dyDescent="0.2">
      <c r="A66" s="4">
        <f t="shared" si="3"/>
        <v>56</v>
      </c>
      <c r="B66" s="5">
        <f t="shared" si="4"/>
        <v>0.55000000000000027</v>
      </c>
      <c r="C66" s="7">
        <f t="shared" si="0"/>
        <v>1.6709078999307532</v>
      </c>
      <c r="D66" s="5">
        <f t="shared" si="1"/>
        <v>0.56000000000000028</v>
      </c>
      <c r="E66" s="7">
        <f t="shared" si="0"/>
        <v>1.6738200435658577</v>
      </c>
      <c r="F66" s="15" t="str">
        <f t="shared" si="2"/>
        <v>not reached</v>
      </c>
      <c r="G66" s="15"/>
    </row>
    <row r="67" spans="1:7" x14ac:dyDescent="0.2">
      <c r="A67" s="4">
        <f t="shared" si="3"/>
        <v>57</v>
      </c>
      <c r="B67" s="5">
        <f t="shared" si="4"/>
        <v>0.56000000000000028</v>
      </c>
      <c r="C67" s="7">
        <f t="shared" si="0"/>
        <v>1.6738200435658577</v>
      </c>
      <c r="D67" s="5">
        <f t="shared" si="1"/>
        <v>0.57000000000000028</v>
      </c>
      <c r="E67" s="7">
        <f t="shared" si="0"/>
        <v>1.6757511872009623</v>
      </c>
      <c r="F67" s="15" t="str">
        <f t="shared" si="2"/>
        <v>not reached</v>
      </c>
      <c r="G67" s="15"/>
    </row>
    <row r="68" spans="1:7" x14ac:dyDescent="0.2">
      <c r="A68" s="4">
        <f t="shared" si="3"/>
        <v>58</v>
      </c>
      <c r="B68" s="5">
        <f t="shared" si="4"/>
        <v>0.57000000000000028</v>
      </c>
      <c r="C68" s="7">
        <f t="shared" si="0"/>
        <v>1.6757511872009623</v>
      </c>
      <c r="D68" s="5">
        <f>B69</f>
        <v>0.58000000000000029</v>
      </c>
      <c r="E68" s="7">
        <f>-($D$2*D68*D68)/2+($D$3*SIN(RADIANS($D$4)))*D68</f>
        <v>1.676701330836067</v>
      </c>
      <c r="F68" s="15" t="str">
        <f t="shared" si="2"/>
        <v>reached</v>
      </c>
      <c r="G68" s="15"/>
    </row>
    <row r="69" spans="1:7" x14ac:dyDescent="0.2">
      <c r="A69" s="4">
        <f t="shared" si="3"/>
        <v>59</v>
      </c>
      <c r="B69" s="5">
        <f t="shared" si="4"/>
        <v>0.58000000000000029</v>
      </c>
      <c r="C69" s="7">
        <f t="shared" si="0"/>
        <v>1.676701330836067</v>
      </c>
      <c r="D69" s="5">
        <v>0.59</v>
      </c>
      <c r="E69" s="7">
        <f>-($D$2*D69*D69)/2+($D$3*SIN(RADIANS($D$4)))*D69</f>
        <v>1.6766704744711716</v>
      </c>
      <c r="F69" s="15" t="str">
        <f t="shared" si="2"/>
        <v>not reached</v>
      </c>
      <c r="G69" s="15"/>
    </row>
    <row r="70" spans="1:7" x14ac:dyDescent="0.2">
      <c r="A70" s="1"/>
      <c r="B70" s="2"/>
      <c r="C70" s="9"/>
      <c r="D70" s="10"/>
      <c r="E70" s="9"/>
    </row>
    <row r="71" spans="1:7" x14ac:dyDescent="0.2">
      <c r="A71" s="1"/>
      <c r="B71" s="2"/>
      <c r="C71" s="9"/>
      <c r="D71" s="10"/>
      <c r="E71" s="9"/>
    </row>
    <row r="72" spans="1:7" x14ac:dyDescent="0.2">
      <c r="A72" s="1"/>
      <c r="B72" s="2"/>
      <c r="C72" s="9"/>
      <c r="D72" s="10"/>
      <c r="E72" s="9"/>
    </row>
    <row r="73" spans="1:7" x14ac:dyDescent="0.2">
      <c r="A73" s="1"/>
      <c r="B73" s="2"/>
      <c r="C73" s="9"/>
      <c r="D73" s="10"/>
      <c r="E73" s="9"/>
    </row>
    <row r="74" spans="1:7" x14ac:dyDescent="0.2">
      <c r="A74" s="1"/>
      <c r="B74" s="2"/>
      <c r="C74" s="9"/>
      <c r="D74" s="10"/>
      <c r="E74" s="9"/>
    </row>
    <row r="75" spans="1:7" x14ac:dyDescent="0.2">
      <c r="A75" s="1"/>
      <c r="B75" s="2"/>
      <c r="C75" s="9"/>
      <c r="D75" s="10"/>
      <c r="E75" s="9"/>
    </row>
    <row r="76" spans="1:7" x14ac:dyDescent="0.2">
      <c r="A76" s="1"/>
      <c r="B76" s="2"/>
      <c r="C76" s="9"/>
      <c r="D76" s="10"/>
      <c r="E76" s="9"/>
    </row>
    <row r="77" spans="1:7" x14ac:dyDescent="0.2">
      <c r="A77" s="1"/>
      <c r="B77" s="2"/>
      <c r="C77" s="9"/>
      <c r="D77" s="10"/>
      <c r="E77" s="9"/>
    </row>
    <row r="78" spans="1:7" x14ac:dyDescent="0.2">
      <c r="A78" s="1"/>
      <c r="B78" s="2"/>
      <c r="C78" s="9"/>
      <c r="D78" s="10"/>
      <c r="E78" s="9"/>
    </row>
    <row r="79" spans="1:7" x14ac:dyDescent="0.2">
      <c r="A79" s="1"/>
      <c r="B79" s="2"/>
      <c r="C79" s="9"/>
      <c r="D79" s="10"/>
      <c r="E79" s="9"/>
    </row>
    <row r="80" spans="1:7" x14ac:dyDescent="0.2">
      <c r="A80" s="1"/>
      <c r="B80" s="2"/>
      <c r="C80" s="9"/>
      <c r="D80" s="10"/>
      <c r="E80" s="9"/>
    </row>
    <row r="81" spans="1:5" x14ac:dyDescent="0.2">
      <c r="A81" s="1"/>
      <c r="B81" s="2"/>
      <c r="C81" s="9"/>
      <c r="D81" s="10"/>
      <c r="E81" s="9"/>
    </row>
    <row r="82" spans="1:5" x14ac:dyDescent="0.2">
      <c r="B82" s="2"/>
    </row>
  </sheetData>
  <mergeCells count="67">
    <mergeCell ref="A1:C1"/>
    <mergeCell ref="F10:G10"/>
    <mergeCell ref="F11:G11"/>
    <mergeCell ref="F12:G12"/>
    <mergeCell ref="F13:G13"/>
    <mergeCell ref="A6:C6"/>
    <mergeCell ref="A8:C8"/>
    <mergeCell ref="A2:C2"/>
    <mergeCell ref="A3:C3"/>
    <mergeCell ref="A4:C4"/>
    <mergeCell ref="A5:C5"/>
    <mergeCell ref="F14:G14"/>
    <mergeCell ref="F26:G26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38:G3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50:G50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62:G62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9:G69"/>
    <mergeCell ref="F63:G63"/>
    <mergeCell ref="F64:G64"/>
    <mergeCell ref="F65:G65"/>
    <mergeCell ref="F66:G66"/>
    <mergeCell ref="F67:G67"/>
    <mergeCell ref="F68:G68"/>
  </mergeCells>
  <pageMargins left="0.7" right="0.7" top="0.75" bottom="0.75" header="0.3" footer="0.3"/>
  <ignoredErrors>
    <ignoredError sqref="D11:D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1</vt:lpstr>
      <vt:lpstr>Problem 2</vt:lpstr>
      <vt:lpstr>Problem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2025-09-27T17:53:19Z</dcterms:created>
  <dcterms:modified xsi:type="dcterms:W3CDTF">2025-11-16T22:57:35Z</dcterms:modified>
</cp:coreProperties>
</file>